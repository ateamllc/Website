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kaywhiting/Downloads/Business at a glance 12:8:2025/"/>
    </mc:Choice>
  </mc:AlternateContent>
  <xr:revisionPtr revIDLastSave="0" documentId="8_{E553DAEB-9A1D-7C4B-AB96-EE00A7AD11CF}" xr6:coauthVersionLast="47" xr6:coauthVersionMax="47" xr10:uidLastSave="{00000000-0000-0000-0000-000000000000}"/>
  <bookViews>
    <workbookView xWindow="3880" yWindow="2200" windowWidth="28040" windowHeight="17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  <c r="B48" i="1"/>
  <c r="B49" i="1" s="1"/>
  <c r="B40" i="1"/>
  <c r="B50" i="1" s="1"/>
  <c r="B51" i="1" s="1"/>
  <c r="B59" i="1" s="1"/>
  <c r="B29" i="1"/>
  <c r="B30" i="1" s="1"/>
  <c r="B31" i="1" s="1"/>
  <c r="B23" i="1"/>
  <c r="B22" i="1"/>
  <c r="B18" i="1"/>
  <c r="B32" i="1" l="1"/>
</calcChain>
</file>

<file path=xl/sharedStrings.xml><?xml version="1.0" encoding="utf-8"?>
<sst xmlns="http://schemas.openxmlformats.org/spreadsheetml/2006/main" count="60" uniqueCount="60">
  <si>
    <t>Balance Sheet</t>
  </si>
  <si>
    <t>A Team Property Improvement LLC</t>
  </si>
  <si>
    <t>As of January 1, 2026</t>
  </si>
  <si>
    <t>Assets</t>
  </si>
  <si>
    <t>Current Assets</t>
  </si>
  <si>
    <t>Bank Accounts</t>
  </si>
  <si>
    <t>Bluevine Checking (1771) - 4</t>
  </si>
  <si>
    <t>BUSINESS CHECKING (0050) - 2</t>
  </si>
  <si>
    <t>EMERGENCY FUND (0001) - 2</t>
  </si>
  <si>
    <t>INCOMING REVENUE (0006) - 2</t>
  </si>
  <si>
    <t>INS/SUBSCRIPTION (0002) - 2</t>
  </si>
  <si>
    <t>JOB MATERIALS (0005) - 2</t>
  </si>
  <si>
    <t>Payments to partners</t>
  </si>
  <si>
    <t>PAYROLL (0004) - 2</t>
  </si>
  <si>
    <t>RETAINED EARNING (0020) - 2</t>
  </si>
  <si>
    <t>Total for Bank Accounts</t>
  </si>
  <si>
    <t>Other Current Assets</t>
  </si>
  <si>
    <t>Payments to deposit</t>
  </si>
  <si>
    <t>QuickBooks Tax Holding Account</t>
  </si>
  <si>
    <t>Total for Other Current Assets</t>
  </si>
  <si>
    <t>Total for Current Assets</t>
  </si>
  <si>
    <t>Fixed Assets</t>
  </si>
  <si>
    <t>Vehicles</t>
  </si>
  <si>
    <t>2005 Chevrolet Express 3500</t>
  </si>
  <si>
    <t>Depreciation</t>
  </si>
  <si>
    <t>Original cost</t>
  </si>
  <si>
    <t>Total for 2005 Chevrolet Express 3500</t>
  </si>
  <si>
    <t>Total for Vehicles</t>
  </si>
  <si>
    <t>Total for Fixed Assets</t>
  </si>
  <si>
    <t>Total for Assets</t>
  </si>
  <si>
    <t>Liabilities and Equity</t>
  </si>
  <si>
    <t>Liabilities</t>
  </si>
  <si>
    <t>Current Liabilities</t>
  </si>
  <si>
    <t>Credit Cards</t>
  </si>
  <si>
    <t>I. JOHNSON (9089) - 1</t>
  </si>
  <si>
    <t>M. WHITING (9071) - 1</t>
  </si>
  <si>
    <t>Pro Xtra Credit Card (8805) - 3</t>
  </si>
  <si>
    <t>Total for Credit Cards</t>
  </si>
  <si>
    <t>Other Current Liabilities</t>
  </si>
  <si>
    <t>Direct Deposit Payable</t>
  </si>
  <si>
    <t>Payroll Liabilities</t>
  </si>
  <si>
    <t>Federal Taxes (941/943/944)</t>
  </si>
  <si>
    <t>Federal Unemployment (940)</t>
  </si>
  <si>
    <t>UT Income Tax</t>
  </si>
  <si>
    <t>UT Unemployment Tax</t>
  </si>
  <si>
    <t>Total for Payroll Liabilities</t>
  </si>
  <si>
    <t>Total for Other Current Liabilities</t>
  </si>
  <si>
    <t>Total for Current Liabilities</t>
  </si>
  <si>
    <t>Total for Liabilities</t>
  </si>
  <si>
    <t>Equity</t>
  </si>
  <si>
    <t>Opening balance equity</t>
  </si>
  <si>
    <t>Partner distributions</t>
  </si>
  <si>
    <t>Partner investments</t>
  </si>
  <si>
    <t>Retained Earnings</t>
  </si>
  <si>
    <t>Net Income</t>
  </si>
  <si>
    <t>Total for Equity</t>
  </si>
  <si>
    <t>Total for Liabilities and Equity</t>
  </si>
  <si>
    <t>Distribution account</t>
  </si>
  <si>
    <t>Total</t>
  </si>
  <si>
    <t>Cash Basis Monday, December 08, 2025 11:55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</si>
</sst>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22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4"/>
    </xf>
    <xf numFmtId="0" fontId="3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5"/>
    </xf>
    <xf numFmtId="0" fontId="3" fillId="0" borderId="0" xfId="0" applyFont="1" applyAlignment="1">
      <alignment horizontal="left" wrapText="1" indent="4"/>
    </xf>
    <xf numFmtId="0" fontId="0" fillId="0" borderId="0" xfId="0" applyAlignment="1">
      <alignment wrapText="1"/>
    </xf>
    <xf numFmtId="0" fontId="4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164" fontId="3" fillId="0" borderId="2" xfId="0" applyNumberFormat="1" applyFont="1" applyBorder="1" applyAlignment="1">
      <alignment wrapText="1"/>
    </xf>
    <xf numFmtId="0" fontId="2" fillId="0" borderId="0" xfId="0" applyFont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B63"/>
  <sheetViews>
    <sheetView tabSelected="1" workbookViewId="0">
      <selection sqref="A1:B1"/>
    </sheetView>
  </sheetViews>
  <sheetFormatPr baseColWidth="10" defaultColWidth="11.33203125" defaultRowHeight="16" outlineLevelRow="5" x14ac:dyDescent="0.2"/>
  <cols>
    <col min="1" max="1" width="32.33203125" style="17" customWidth="1"/>
    <col min="2" max="2" width="16.1640625" style="17" customWidth="1"/>
  </cols>
  <sheetData>
    <row r="1" spans="1:2" x14ac:dyDescent="0.2">
      <c r="A1" s="5" t="s">
        <v>0</v>
      </c>
      <c r="B1" s="4"/>
    </row>
    <row r="2" spans="1:2" x14ac:dyDescent="0.2">
      <c r="A2" s="3" t="s">
        <v>1</v>
      </c>
      <c r="B2" s="4"/>
    </row>
    <row r="3" spans="1:2" x14ac:dyDescent="0.2">
      <c r="A3" s="2" t="s">
        <v>2</v>
      </c>
      <c r="B3" s="4"/>
    </row>
    <row r="5" spans="1:2" x14ac:dyDescent="0.2">
      <c r="A5" s="18" t="s">
        <v>57</v>
      </c>
      <c r="B5" s="18" t="s">
        <v>58</v>
      </c>
    </row>
    <row r="6" spans="1:2" x14ac:dyDescent="0.2">
      <c r="A6" s="6" t="s">
        <v>3</v>
      </c>
    </row>
    <row r="7" spans="1:2" outlineLevel="1" x14ac:dyDescent="0.2">
      <c r="A7" s="7" t="s">
        <v>4</v>
      </c>
    </row>
    <row r="8" spans="1:2" outlineLevel="2" x14ac:dyDescent="0.2">
      <c r="A8" s="8" t="s">
        <v>5</v>
      </c>
    </row>
    <row r="9" spans="1:2" outlineLevel="3" x14ac:dyDescent="0.2">
      <c r="A9" s="9" t="s">
        <v>6</v>
      </c>
      <c r="B9" s="19">
        <v>2250.0100000000002</v>
      </c>
    </row>
    <row r="10" spans="1:2" outlineLevel="3" x14ac:dyDescent="0.2">
      <c r="A10" s="9" t="s">
        <v>7</v>
      </c>
      <c r="B10" s="19">
        <v>552.9</v>
      </c>
    </row>
    <row r="11" spans="1:2" outlineLevel="3" x14ac:dyDescent="0.2">
      <c r="A11" s="9" t="s">
        <v>8</v>
      </c>
      <c r="B11" s="19">
        <v>201.07</v>
      </c>
    </row>
    <row r="12" spans="1:2" outlineLevel="3" x14ac:dyDescent="0.2">
      <c r="A12" s="9" t="s">
        <v>9</v>
      </c>
      <c r="B12" s="19">
        <v>-29.9</v>
      </c>
    </row>
    <row r="13" spans="1:2" outlineLevel="3" x14ac:dyDescent="0.2">
      <c r="A13" s="9" t="s">
        <v>10</v>
      </c>
      <c r="B13" s="19">
        <v>450.02</v>
      </c>
    </row>
    <row r="14" spans="1:2" outlineLevel="3" x14ac:dyDescent="0.2">
      <c r="A14" s="9" t="s">
        <v>11</v>
      </c>
      <c r="B14" s="19">
        <v>0.02</v>
      </c>
    </row>
    <row r="15" spans="1:2" outlineLevel="3" x14ac:dyDescent="0.2">
      <c r="A15" s="9" t="s">
        <v>12</v>
      </c>
      <c r="B15" s="19">
        <v>0</v>
      </c>
    </row>
    <row r="16" spans="1:2" outlineLevel="3" x14ac:dyDescent="0.2">
      <c r="A16" s="9" t="s">
        <v>13</v>
      </c>
      <c r="B16" s="19">
        <v>163.04</v>
      </c>
    </row>
    <row r="17" spans="1:2" outlineLevel="3" x14ac:dyDescent="0.2">
      <c r="A17" s="9" t="s">
        <v>14</v>
      </c>
      <c r="B17" s="19">
        <v>-100</v>
      </c>
    </row>
    <row r="18" spans="1:2" outlineLevel="2" x14ac:dyDescent="0.2">
      <c r="A18" s="10" t="s">
        <v>15</v>
      </c>
      <c r="B18" s="20">
        <f>B8+B9+B10+B11+B12+B13+B14+B15+B16+B17</f>
        <v>3487.1600000000003</v>
      </c>
    </row>
    <row r="19" spans="1:2" outlineLevel="2" x14ac:dyDescent="0.2">
      <c r="A19" s="8" t="s">
        <v>16</v>
      </c>
    </row>
    <row r="20" spans="1:2" outlineLevel="3" x14ac:dyDescent="0.2">
      <c r="A20" s="9" t="s">
        <v>17</v>
      </c>
      <c r="B20" s="19">
        <v>0</v>
      </c>
    </row>
    <row r="21" spans="1:2" outlineLevel="3" x14ac:dyDescent="0.2">
      <c r="A21" s="9" t="s">
        <v>18</v>
      </c>
      <c r="B21" s="19">
        <v>373.8</v>
      </c>
    </row>
    <row r="22" spans="1:2" outlineLevel="2" x14ac:dyDescent="0.2">
      <c r="A22" s="10" t="s">
        <v>19</v>
      </c>
      <c r="B22" s="20">
        <f>B19+B20+B21</f>
        <v>373.8</v>
      </c>
    </row>
    <row r="23" spans="1:2" outlineLevel="1" x14ac:dyDescent="0.2">
      <c r="A23" s="11" t="s">
        <v>20</v>
      </c>
      <c r="B23" s="20">
        <f>B7+B18+B22</f>
        <v>3860.9600000000005</v>
      </c>
    </row>
    <row r="24" spans="1:2" outlineLevel="1" x14ac:dyDescent="0.2">
      <c r="A24" s="7" t="s">
        <v>21</v>
      </c>
    </row>
    <row r="25" spans="1:2" outlineLevel="2" x14ac:dyDescent="0.2">
      <c r="A25" s="8" t="s">
        <v>22</v>
      </c>
      <c r="B25" s="21"/>
    </row>
    <row r="26" spans="1:2" outlineLevel="3" x14ac:dyDescent="0.2">
      <c r="A26" s="9" t="s">
        <v>23</v>
      </c>
      <c r="B26" s="21"/>
    </row>
    <row r="27" spans="1:2" outlineLevel="4" x14ac:dyDescent="0.2">
      <c r="A27" s="12" t="s">
        <v>24</v>
      </c>
      <c r="B27" s="19">
        <v>-600</v>
      </c>
    </row>
    <row r="28" spans="1:2" outlineLevel="4" x14ac:dyDescent="0.2">
      <c r="A28" s="12" t="s">
        <v>25</v>
      </c>
      <c r="B28" s="19">
        <v>3000</v>
      </c>
    </row>
    <row r="29" spans="1:2" outlineLevel="3" x14ac:dyDescent="0.2">
      <c r="A29" s="13" t="s">
        <v>26</v>
      </c>
      <c r="B29" s="20">
        <f>B26+B27+B28</f>
        <v>2400</v>
      </c>
    </row>
    <row r="30" spans="1:2" outlineLevel="2" x14ac:dyDescent="0.2">
      <c r="A30" s="10" t="s">
        <v>27</v>
      </c>
      <c r="B30" s="20">
        <f>B25+B29</f>
        <v>2400</v>
      </c>
    </row>
    <row r="31" spans="1:2" outlineLevel="1" x14ac:dyDescent="0.2">
      <c r="A31" s="11" t="s">
        <v>28</v>
      </c>
      <c r="B31" s="20">
        <f>B24+B30</f>
        <v>2400</v>
      </c>
    </row>
    <row r="32" spans="1:2" x14ac:dyDescent="0.2">
      <c r="A32" s="14" t="s">
        <v>29</v>
      </c>
      <c r="B32" s="20">
        <f>B23+B31</f>
        <v>6260.9600000000009</v>
      </c>
    </row>
    <row r="33" spans="1:2" x14ac:dyDescent="0.2">
      <c r="A33" s="6" t="s">
        <v>30</v>
      </c>
    </row>
    <row r="34" spans="1:2" outlineLevel="1" x14ac:dyDescent="0.2">
      <c r="A34" s="7" t="s">
        <v>31</v>
      </c>
    </row>
    <row r="35" spans="1:2" outlineLevel="2" x14ac:dyDescent="0.2">
      <c r="A35" s="8" t="s">
        <v>32</v>
      </c>
    </row>
    <row r="36" spans="1:2" outlineLevel="3" x14ac:dyDescent="0.2">
      <c r="A36" s="9" t="s">
        <v>33</v>
      </c>
    </row>
    <row r="37" spans="1:2" outlineLevel="4" x14ac:dyDescent="0.2">
      <c r="A37" s="12" t="s">
        <v>34</v>
      </c>
      <c r="B37" s="19">
        <v>6072.41</v>
      </c>
    </row>
    <row r="38" spans="1:2" outlineLevel="4" x14ac:dyDescent="0.2">
      <c r="A38" s="12" t="s">
        <v>35</v>
      </c>
      <c r="B38" s="19">
        <v>-2878.01</v>
      </c>
    </row>
    <row r="39" spans="1:2" outlineLevel="4" x14ac:dyDescent="0.2">
      <c r="A39" s="12" t="s">
        <v>36</v>
      </c>
      <c r="B39" s="19">
        <v>867.75</v>
      </c>
    </row>
    <row r="40" spans="1:2" outlineLevel="3" x14ac:dyDescent="0.2">
      <c r="A40" s="13" t="s">
        <v>37</v>
      </c>
      <c r="B40" s="20">
        <f>B36+B37+B38+B39</f>
        <v>4062.1499999999996</v>
      </c>
    </row>
    <row r="41" spans="1:2" outlineLevel="3" x14ac:dyDescent="0.2">
      <c r="A41" s="9" t="s">
        <v>38</v>
      </c>
    </row>
    <row r="42" spans="1:2" outlineLevel="4" x14ac:dyDescent="0.2">
      <c r="A42" s="12" t="s">
        <v>39</v>
      </c>
      <c r="B42" s="19">
        <v>0</v>
      </c>
    </row>
    <row r="43" spans="1:2" outlineLevel="4" x14ac:dyDescent="0.2">
      <c r="A43" s="12" t="s">
        <v>40</v>
      </c>
      <c r="B43" s="21"/>
    </row>
    <row r="44" spans="1:2" outlineLevel="5" x14ac:dyDescent="0.2">
      <c r="A44" s="15" t="s">
        <v>41</v>
      </c>
      <c r="B44" s="19">
        <v>123.88</v>
      </c>
    </row>
    <row r="45" spans="1:2" outlineLevel="5" x14ac:dyDescent="0.2">
      <c r="A45" s="15" t="s">
        <v>42</v>
      </c>
      <c r="B45" s="19">
        <v>132.94</v>
      </c>
    </row>
    <row r="46" spans="1:2" outlineLevel="5" x14ac:dyDescent="0.2">
      <c r="A46" s="15" t="s">
        <v>43</v>
      </c>
      <c r="B46" s="19">
        <v>30.66</v>
      </c>
    </row>
    <row r="47" spans="1:2" outlineLevel="5" x14ac:dyDescent="0.2">
      <c r="A47" s="15" t="s">
        <v>44</v>
      </c>
      <c r="B47" s="19">
        <v>86.34</v>
      </c>
    </row>
    <row r="48" spans="1:2" outlineLevel="4" x14ac:dyDescent="0.2">
      <c r="A48" s="16" t="s">
        <v>45</v>
      </c>
      <c r="B48" s="20">
        <f>B43+B44+B45+B46+B47</f>
        <v>373.82000000000005</v>
      </c>
    </row>
    <row r="49" spans="1:2" outlineLevel="3" x14ac:dyDescent="0.2">
      <c r="A49" s="13" t="s">
        <v>46</v>
      </c>
      <c r="B49" s="20">
        <f>B41+B42+B48</f>
        <v>373.82000000000005</v>
      </c>
    </row>
    <row r="50" spans="1:2" outlineLevel="2" x14ac:dyDescent="0.2">
      <c r="A50" s="10" t="s">
        <v>47</v>
      </c>
      <c r="B50" s="20">
        <f>B35+B40+B49</f>
        <v>4435.9699999999993</v>
      </c>
    </row>
    <row r="51" spans="1:2" outlineLevel="1" x14ac:dyDescent="0.2">
      <c r="A51" s="11" t="s">
        <v>48</v>
      </c>
      <c r="B51" s="20">
        <f>B34+B50</f>
        <v>4435.9699999999993</v>
      </c>
    </row>
    <row r="52" spans="1:2" outlineLevel="1" x14ac:dyDescent="0.2">
      <c r="A52" s="7" t="s">
        <v>49</v>
      </c>
    </row>
    <row r="53" spans="1:2" outlineLevel="2" x14ac:dyDescent="0.2">
      <c r="A53" s="8" t="s">
        <v>50</v>
      </c>
      <c r="B53" s="19">
        <v>397</v>
      </c>
    </row>
    <row r="54" spans="1:2" outlineLevel="2" x14ac:dyDescent="0.2">
      <c r="A54" s="8" t="s">
        <v>51</v>
      </c>
      <c r="B54" s="19">
        <v>-20531.87</v>
      </c>
    </row>
    <row r="55" spans="1:2" outlineLevel="2" x14ac:dyDescent="0.2">
      <c r="A55" s="8" t="s">
        <v>52</v>
      </c>
      <c r="B55" s="19">
        <v>843.62</v>
      </c>
    </row>
    <row r="56" spans="1:2" outlineLevel="2" x14ac:dyDescent="0.2">
      <c r="A56" s="8" t="s">
        <v>53</v>
      </c>
      <c r="B56" s="19">
        <v>21116.240000000009</v>
      </c>
    </row>
    <row r="57" spans="1:2" outlineLevel="2" x14ac:dyDescent="0.2">
      <c r="A57" s="8" t="s">
        <v>54</v>
      </c>
      <c r="B57" s="21"/>
    </row>
    <row r="58" spans="1:2" outlineLevel="1" x14ac:dyDescent="0.2">
      <c r="A58" s="11" t="s">
        <v>55</v>
      </c>
      <c r="B58" s="20">
        <f>B52+B53+B54+B55+B56+B57</f>
        <v>1824.9900000000089</v>
      </c>
    </row>
    <row r="59" spans="1:2" x14ac:dyDescent="0.2">
      <c r="A59" s="14" t="s">
        <v>56</v>
      </c>
      <c r="B59" s="20">
        <f>B51+B58</f>
        <v>6260.9600000000082</v>
      </c>
    </row>
    <row r="63" spans="1:2" x14ac:dyDescent="0.2">
      <c r="A63" s="1" t="s">
        <v>59</v>
      </c>
      <c r="B63" s="4"/>
    </row>
  </sheetData>
  <mergeCells count="4">
    <mergeCell ref="A1:B1"/>
    <mergeCell ref="A2:B2"/>
    <mergeCell ref="A3:B3"/>
    <mergeCell ref="A63:B6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McKay Whiting</cp:lastModifiedBy>
  <dcterms:created xsi:type="dcterms:W3CDTF">2022-03-24T08:55:57Z</dcterms:created>
  <dcterms:modified xsi:type="dcterms:W3CDTF">2025-12-09T00:14:10Z</dcterms:modified>
  <cp:category/>
</cp:coreProperties>
</file>