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kaywhiting/Downloads/Business at a glance 12:8:2025/"/>
    </mc:Choice>
  </mc:AlternateContent>
  <xr:revisionPtr revIDLastSave="0" documentId="8_{AC1FA257-D924-D843-B524-1764CD801238}" xr6:coauthVersionLast="47" xr6:coauthVersionMax="47" xr10:uidLastSave="{00000000-0000-0000-0000-000000000000}"/>
  <bookViews>
    <workbookView xWindow="3880" yWindow="2200" windowWidth="28040" windowHeight="17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1" l="1"/>
  <c r="N71" i="1" s="1"/>
  <c r="N70" i="1"/>
  <c r="K68" i="1"/>
  <c r="K72" i="1" s="1"/>
  <c r="J68" i="1"/>
  <c r="J72" i="1" s="1"/>
  <c r="I68" i="1"/>
  <c r="I72" i="1" s="1"/>
  <c r="H68" i="1"/>
  <c r="H72" i="1" s="1"/>
  <c r="G68" i="1"/>
  <c r="G72" i="1" s="1"/>
  <c r="F68" i="1"/>
  <c r="F72" i="1" s="1"/>
  <c r="E68" i="1"/>
  <c r="E72" i="1" s="1"/>
  <c r="D68" i="1"/>
  <c r="D72" i="1" s="1"/>
  <c r="C68" i="1"/>
  <c r="C72" i="1" s="1"/>
  <c r="L67" i="1"/>
  <c r="L68" i="1" s="1"/>
  <c r="L72" i="1" s="1"/>
  <c r="L59" i="1"/>
  <c r="M58" i="1"/>
  <c r="L58" i="1"/>
  <c r="K58" i="1"/>
  <c r="J58" i="1"/>
  <c r="I58" i="1"/>
  <c r="H58" i="1"/>
  <c r="G58" i="1"/>
  <c r="F58" i="1"/>
  <c r="D58" i="1"/>
  <c r="N57" i="1"/>
  <c r="N56" i="1"/>
  <c r="L52" i="1"/>
  <c r="K52" i="1"/>
  <c r="J52" i="1"/>
  <c r="I52" i="1"/>
  <c r="G52" i="1"/>
  <c r="M48" i="1"/>
  <c r="L48" i="1"/>
  <c r="K48" i="1"/>
  <c r="J48" i="1"/>
  <c r="I48" i="1"/>
  <c r="H48" i="1"/>
  <c r="G48" i="1"/>
  <c r="N43" i="1"/>
  <c r="M42" i="1"/>
  <c r="M59" i="1" s="1"/>
  <c r="L42" i="1"/>
  <c r="K42" i="1"/>
  <c r="J42" i="1"/>
  <c r="I42" i="1"/>
  <c r="H42" i="1"/>
  <c r="G42" i="1"/>
  <c r="F42" i="1"/>
  <c r="E42" i="1"/>
  <c r="L34" i="1"/>
  <c r="K34" i="1"/>
  <c r="J34" i="1"/>
  <c r="I34" i="1"/>
  <c r="H34" i="1"/>
  <c r="G34" i="1"/>
  <c r="F34" i="1"/>
  <c r="E34" i="1"/>
  <c r="D34" i="1"/>
  <c r="L30" i="1"/>
  <c r="K30" i="1"/>
  <c r="J30" i="1"/>
  <c r="H30" i="1"/>
  <c r="H59" i="1" s="1"/>
  <c r="G30" i="1"/>
  <c r="G59" i="1" s="1"/>
  <c r="F30" i="1"/>
  <c r="E30" i="1"/>
  <c r="E59" i="1" s="1"/>
  <c r="D30" i="1"/>
  <c r="D59" i="1" s="1"/>
  <c r="D60" i="1" s="1"/>
  <c r="C30" i="1"/>
  <c r="C59" i="1" s="1"/>
  <c r="C60" i="1" s="1"/>
  <c r="N28" i="1"/>
  <c r="N26" i="1"/>
  <c r="M25" i="1"/>
  <c r="L25" i="1"/>
  <c r="K25" i="1"/>
  <c r="K59" i="1" s="1"/>
  <c r="J25" i="1"/>
  <c r="J59" i="1" s="1"/>
  <c r="I25" i="1"/>
  <c r="I59" i="1" s="1"/>
  <c r="F25" i="1"/>
  <c r="F59" i="1" s="1"/>
  <c r="F60" i="1" s="1"/>
  <c r="F73" i="1" s="1"/>
  <c r="K21" i="1"/>
  <c r="J21" i="1"/>
  <c r="F21" i="1"/>
  <c r="K20" i="1"/>
  <c r="J20" i="1"/>
  <c r="I20" i="1"/>
  <c r="H20" i="1"/>
  <c r="H21" i="1" s="1"/>
  <c r="G20" i="1"/>
  <c r="G21" i="1" s="1"/>
  <c r="K19" i="1"/>
  <c r="J19" i="1"/>
  <c r="I19" i="1"/>
  <c r="H19" i="1"/>
  <c r="G19" i="1"/>
  <c r="E19" i="1"/>
  <c r="E20" i="1" s="1"/>
  <c r="E21" i="1" s="1"/>
  <c r="E60" i="1" s="1"/>
  <c r="N17" i="1"/>
  <c r="M16" i="1"/>
  <c r="M19" i="1" s="1"/>
  <c r="M20" i="1" s="1"/>
  <c r="M21" i="1" s="1"/>
  <c r="M60" i="1" s="1"/>
  <c r="M73" i="1" s="1"/>
  <c r="L16" i="1"/>
  <c r="L19" i="1" s="1"/>
  <c r="L20" i="1" s="1"/>
  <c r="L21" i="1" s="1"/>
  <c r="L60" i="1" s="1"/>
  <c r="K16" i="1"/>
  <c r="J16" i="1"/>
  <c r="I16" i="1"/>
  <c r="H16" i="1"/>
  <c r="G16" i="1"/>
  <c r="E16" i="1"/>
  <c r="N14" i="1"/>
  <c r="M10" i="1"/>
  <c r="L10" i="1"/>
  <c r="K10" i="1"/>
  <c r="J10" i="1"/>
  <c r="I10" i="1"/>
  <c r="I21" i="1" s="1"/>
  <c r="H10" i="1"/>
  <c r="G10" i="1"/>
  <c r="F10" i="1"/>
  <c r="E10" i="1"/>
  <c r="N7" i="1"/>
  <c r="H60" i="1" l="1"/>
  <c r="H73" i="1" s="1"/>
  <c r="L73" i="1"/>
  <c r="D73" i="1"/>
  <c r="J60" i="1"/>
  <c r="J73" i="1" s="1"/>
  <c r="G60" i="1"/>
  <c r="G73" i="1" s="1"/>
  <c r="I60" i="1"/>
  <c r="I73" i="1" s="1"/>
  <c r="C73" i="1"/>
  <c r="E73" i="1"/>
  <c r="K60" i="1"/>
  <c r="K73" i="1" s="1"/>
</calcChain>
</file>

<file path=xl/sharedStrings.xml><?xml version="1.0" encoding="utf-8"?>
<sst xmlns="http://schemas.openxmlformats.org/spreadsheetml/2006/main" count="86" uniqueCount="84">
  <si>
    <t>Profit and Loss by Month</t>
  </si>
  <si>
    <t>A Team Property Improvement LLC</t>
  </si>
  <si>
    <t>January 1-December 8, 2025</t>
  </si>
  <si>
    <t>Income</t>
  </si>
  <si>
    <t>Discounts given</t>
  </si>
  <si>
    <t>Materials Reimbursement Income</t>
  </si>
  <si>
    <t>Services</t>
  </si>
  <si>
    <t>Total for Income</t>
  </si>
  <si>
    <t>Cost of Sales</t>
  </si>
  <si>
    <t>Cost of goods sold</t>
  </si>
  <si>
    <t>Cost of labor - COGS</t>
  </si>
  <si>
    <t>COGS - Contract Labor</t>
  </si>
  <si>
    <t>Wages</t>
  </si>
  <si>
    <t>Total for Cost of labor - COGS</t>
  </si>
  <si>
    <t>Equipment rental - COGS</t>
  </si>
  <si>
    <t>Job Materials - COGS</t>
  </si>
  <si>
    <t>Total for Cost of goods sold</t>
  </si>
  <si>
    <t>Total for Cost of Sales</t>
  </si>
  <si>
    <t>Gross Profit</t>
  </si>
  <si>
    <t>Expenses</t>
  </si>
  <si>
    <t>Advertising &amp; marketing</t>
  </si>
  <si>
    <t>Community Event Supplies</t>
  </si>
  <si>
    <t>Total for Advertising &amp; marketing</t>
  </si>
  <si>
    <t>General business expenses</t>
  </si>
  <si>
    <t>Bank fees &amp; service charges</t>
  </si>
  <si>
    <t>Continuing education</t>
  </si>
  <si>
    <t>Employee Uniforms, PPE, toolbag</t>
  </si>
  <si>
    <t>Total for General business expenses</t>
  </si>
  <si>
    <t>Insurance</t>
  </si>
  <si>
    <t>Auto Insurance</t>
  </si>
  <si>
    <t>Liability insurance</t>
  </si>
  <si>
    <t>Total for Insurance</t>
  </si>
  <si>
    <t>Interest paid</t>
  </si>
  <si>
    <t>Licenses and Permits</t>
  </si>
  <si>
    <t>Meals</t>
  </si>
  <si>
    <t>Office expenses</t>
  </si>
  <si>
    <t>Small tools &amp; equipment</t>
  </si>
  <si>
    <t>Snacks &amp; Drinks</t>
  </si>
  <si>
    <t>Software &amp; apps</t>
  </si>
  <si>
    <t>Total for Office expenses</t>
  </si>
  <si>
    <t>Payroll expenses</t>
  </si>
  <si>
    <t>Salaries &amp; wages</t>
  </si>
  <si>
    <t>Taxes</t>
  </si>
  <si>
    <t>Worker's Comp Insurance</t>
  </si>
  <si>
    <t>Total for Payroll expenses</t>
  </si>
  <si>
    <t>QuickBooks Payments Fees</t>
  </si>
  <si>
    <t>Rent</t>
  </si>
  <si>
    <t>Storage Unit Rent</t>
  </si>
  <si>
    <t>Total for Rent</t>
  </si>
  <si>
    <t>Supplies</t>
  </si>
  <si>
    <t>Vehicle expenses</t>
  </si>
  <si>
    <t>Gas</t>
  </si>
  <si>
    <t>Registration and compliance fees</t>
  </si>
  <si>
    <t>Repairs</t>
  </si>
  <si>
    <t>Total for Vehicle expenses</t>
  </si>
  <si>
    <t>Total for Expenses</t>
  </si>
  <si>
    <t>Net Operating Income</t>
  </si>
  <si>
    <t>Other Income</t>
  </si>
  <si>
    <t>Credit card rewards</t>
  </si>
  <si>
    <t>Interest earned</t>
  </si>
  <si>
    <t>Sale of an asset</t>
  </si>
  <si>
    <t>Sale of Equipment Income(Marketplace, etc)</t>
  </si>
  <si>
    <t>Total for Sale of an asset</t>
  </si>
  <si>
    <t>Total for Other Income</t>
  </si>
  <si>
    <t>Other Expenses</t>
  </si>
  <si>
    <t>Penalties &amp; settlements</t>
  </si>
  <si>
    <t>Total for Other Expenses</t>
  </si>
  <si>
    <t>Net Other Income</t>
  </si>
  <si>
    <t>Net Income</t>
  </si>
  <si>
    <t>Distribution account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</si>
  <si>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</si>
  <si>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</si>
  <si>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</si>
  <si>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</si>
  <si>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</si>
  <si>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</si>
  <si>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</si>
  <si>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</si>
  <si>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</si>
  <si>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</si>
  <si>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</si>
  <si>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 1 - Dec 8 2025</t>
  </si>
  <si>
    <t>Total</t>
  </si>
  <si>
    <t>Cash Basis Monday, December 08, 2025 11:54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</si>
</sst>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1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3" fillId="0" borderId="2" xfId="0" applyNumberFormat="1" applyFont="1" applyBorder="1" applyAlignment="1">
      <alignment wrapText="1"/>
    </xf>
    <xf numFmtId="4" fontId="2" fillId="0" borderId="0" xfId="0" applyNumberFormat="1" applyFont="1" applyAlignment="1">
      <alignment wrapText="1"/>
    </xf>
    <xf numFmtId="4" fontId="2" fillId="0" borderId="1" xfId="0" applyNumberFormat="1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N77"/>
  <sheetViews>
    <sheetView tabSelected="1" workbookViewId="0">
      <selection sqref="A1:N1"/>
    </sheetView>
  </sheetViews>
  <sheetFormatPr baseColWidth="10" defaultColWidth="11.33203125" defaultRowHeight="16" outlineLevelRow="3" x14ac:dyDescent="0.2"/>
  <cols>
    <col min="1" max="1" width="36.6640625" style="13" customWidth="1"/>
    <col min="2" max="2" width="11" style="13" customWidth="1"/>
    <col min="3" max="3" width="11.6640625" style="13" customWidth="1"/>
    <col min="4" max="4" width="9.1640625" style="13" customWidth="1"/>
    <col min="5" max="5" width="16.1640625" style="13" customWidth="1"/>
    <col min="6" max="6" width="7.5" style="13" customWidth="1"/>
    <col min="7" max="8" width="16.1640625" style="13" customWidth="1"/>
    <col min="9" max="9" width="17" style="13" customWidth="1"/>
    <col min="10" max="11" width="16.1640625" style="13" customWidth="1"/>
    <col min="12" max="12" width="17" style="13" customWidth="1"/>
    <col min="13" max="14" width="16.1640625" style="13" customWidth="1"/>
  </cols>
  <sheetData>
    <row r="1" spans="1:14" x14ac:dyDescent="0.2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spans="1:14" ht="27" x14ac:dyDescent="0.2">
      <c r="A5" s="14" t="s">
        <v>69</v>
      </c>
      <c r="B5" s="14" t="s">
        <v>70</v>
      </c>
      <c r="C5" s="14" t="s">
        <v>71</v>
      </c>
      <c r="D5" s="14" t="s">
        <v>72</v>
      </c>
      <c r="E5" s="14" t="s">
        <v>73</v>
      </c>
      <c r="F5" s="14" t="s">
        <v>74</v>
      </c>
      <c r="G5" s="14" t="s">
        <v>75</v>
      </c>
      <c r="H5" s="14" t="s">
        <v>76</v>
      </c>
      <c r="I5" s="14" t="s">
        <v>77</v>
      </c>
      <c r="J5" s="14" t="s">
        <v>78</v>
      </c>
      <c r="K5" s="14" t="s">
        <v>79</v>
      </c>
      <c r="L5" s="14" t="s">
        <v>80</v>
      </c>
      <c r="M5" s="14" t="s">
        <v>81</v>
      </c>
      <c r="N5" s="14" t="s">
        <v>82</v>
      </c>
    </row>
    <row r="6" spans="1:14" x14ac:dyDescent="0.2">
      <c r="A6" s="6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outlineLevel="1" x14ac:dyDescent="0.2">
      <c r="A7" s="7" t="s">
        <v>4</v>
      </c>
      <c r="B7" s="15"/>
      <c r="C7" s="15"/>
      <c r="D7" s="15"/>
      <c r="E7" s="15"/>
      <c r="F7" s="15"/>
      <c r="G7" s="15"/>
      <c r="H7" s="17">
        <v>-1066.0999999999999</v>
      </c>
      <c r="I7" s="17">
        <v>-568.59</v>
      </c>
      <c r="J7" s="17">
        <v>-355.76</v>
      </c>
      <c r="K7" s="15"/>
      <c r="L7" s="15"/>
      <c r="M7" s="15"/>
      <c r="N7" s="17">
        <f>B7+C7+D7+E7+F7+G7+H7+I7+J7+B70+B71+B72</f>
        <v>-1990.45</v>
      </c>
    </row>
    <row r="8" spans="1:14" outlineLevel="1" x14ac:dyDescent="0.2">
      <c r="A8" s="7" t="s">
        <v>5</v>
      </c>
      <c r="B8" s="15"/>
      <c r="C8" s="15"/>
      <c r="D8" s="15"/>
      <c r="E8" s="15"/>
      <c r="F8" s="15"/>
      <c r="G8" s="15"/>
      <c r="H8" s="17">
        <v>10</v>
      </c>
      <c r="I8" s="17">
        <v>830.23</v>
      </c>
      <c r="J8" s="17">
        <v>4012.78</v>
      </c>
      <c r="K8" s="15"/>
      <c r="L8" s="15"/>
      <c r="M8" s="17">
        <v>454.77</v>
      </c>
      <c r="N8" s="17">
        <v>5307.7800000000007</v>
      </c>
    </row>
    <row r="9" spans="1:14" outlineLevel="1" x14ac:dyDescent="0.2">
      <c r="A9" s="7" t="s">
        <v>6</v>
      </c>
      <c r="B9" s="15"/>
      <c r="C9" s="15"/>
      <c r="D9" s="15"/>
      <c r="E9" s="17">
        <v>24911.64</v>
      </c>
      <c r="F9" s="17">
        <v>125</v>
      </c>
      <c r="G9" s="17">
        <v>5237.22</v>
      </c>
      <c r="H9" s="17">
        <v>17636.57</v>
      </c>
      <c r="I9" s="17">
        <v>10121.98</v>
      </c>
      <c r="J9" s="17">
        <v>10904.9</v>
      </c>
      <c r="K9" s="17">
        <v>7570.65</v>
      </c>
      <c r="L9" s="17">
        <v>2821.28</v>
      </c>
      <c r="M9" s="17">
        <v>1453.26</v>
      </c>
      <c r="N9" s="18">
        <v>80782.499999999985</v>
      </c>
    </row>
    <row r="10" spans="1:14" x14ac:dyDescent="0.2">
      <c r="A10" s="8" t="s">
        <v>7</v>
      </c>
      <c r="B10" s="16"/>
      <c r="C10" s="16"/>
      <c r="D10" s="16"/>
      <c r="E10" s="16">
        <f t="shared" ref="E10:M10" si="0">E7+E8+E9</f>
        <v>24911.64</v>
      </c>
      <c r="F10" s="16">
        <f t="shared" si="0"/>
        <v>125</v>
      </c>
      <c r="G10" s="16">
        <f t="shared" si="0"/>
        <v>5237.22</v>
      </c>
      <c r="H10" s="16">
        <f t="shared" si="0"/>
        <v>16580.47</v>
      </c>
      <c r="I10" s="16">
        <f t="shared" si="0"/>
        <v>10383.619999999999</v>
      </c>
      <c r="J10" s="16">
        <f t="shared" si="0"/>
        <v>14561.92</v>
      </c>
      <c r="K10" s="16">
        <f t="shared" si="0"/>
        <v>7570.65</v>
      </c>
      <c r="L10" s="16">
        <f t="shared" si="0"/>
        <v>2821.28</v>
      </c>
      <c r="M10" s="16">
        <f t="shared" si="0"/>
        <v>1908.03</v>
      </c>
      <c r="N10" s="19">
        <v>84099.829999999987</v>
      </c>
    </row>
    <row r="11" spans="1:14" x14ac:dyDescent="0.2">
      <c r="A11" s="6" t="s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4" outlineLevel="1" x14ac:dyDescent="0.2">
      <c r="A12" s="7" t="s">
        <v>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outlineLevel="2" x14ac:dyDescent="0.2">
      <c r="A13" s="9" t="s">
        <v>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outlineLevel="3" x14ac:dyDescent="0.2">
      <c r="A14" s="10" t="s">
        <v>11</v>
      </c>
      <c r="B14" s="15"/>
      <c r="C14" s="15"/>
      <c r="D14" s="15"/>
      <c r="E14" s="17">
        <v>6000</v>
      </c>
      <c r="F14" s="15"/>
      <c r="G14" s="15"/>
      <c r="H14" s="15"/>
      <c r="I14" s="15"/>
      <c r="J14" s="15"/>
      <c r="K14" s="15"/>
      <c r="L14" s="15"/>
      <c r="M14" s="15"/>
      <c r="N14" s="17">
        <f>B14+C14+D14+E14+F14+G14+H14+I14+J14+B140+B141+B142</f>
        <v>6000</v>
      </c>
    </row>
    <row r="15" spans="1:14" outlineLevel="3" x14ac:dyDescent="0.2">
      <c r="A15" s="10" t="s">
        <v>12</v>
      </c>
      <c r="B15" s="15"/>
      <c r="C15" s="15"/>
      <c r="D15" s="15"/>
      <c r="E15" s="15"/>
      <c r="F15" s="15"/>
      <c r="G15" s="17">
        <v>157.91999999999999</v>
      </c>
      <c r="H15" s="17">
        <v>2420.89</v>
      </c>
      <c r="I15" s="17">
        <v>6384.84</v>
      </c>
      <c r="J15" s="17">
        <v>6551.29</v>
      </c>
      <c r="K15" s="17">
        <v>3857.41</v>
      </c>
      <c r="L15" s="17">
        <v>1042.02</v>
      </c>
      <c r="M15" s="17">
        <v>792.18</v>
      </c>
      <c r="N15" s="18">
        <v>21206.55</v>
      </c>
    </row>
    <row r="16" spans="1:14" outlineLevel="2" x14ac:dyDescent="0.2">
      <c r="A16" s="11" t="s">
        <v>13</v>
      </c>
      <c r="B16" s="16"/>
      <c r="C16" s="16"/>
      <c r="D16" s="16"/>
      <c r="E16" s="16">
        <f>E13+E14+E15</f>
        <v>6000</v>
      </c>
      <c r="F16" s="16"/>
      <c r="G16" s="16">
        <f t="shared" ref="G16:M16" si="1">G13+G14+G15</f>
        <v>157.91999999999999</v>
      </c>
      <c r="H16" s="16">
        <f t="shared" si="1"/>
        <v>2420.89</v>
      </c>
      <c r="I16" s="16">
        <f t="shared" si="1"/>
        <v>6384.84</v>
      </c>
      <c r="J16" s="16">
        <f t="shared" si="1"/>
        <v>6551.29</v>
      </c>
      <c r="K16" s="16">
        <f t="shared" si="1"/>
        <v>3857.41</v>
      </c>
      <c r="L16" s="16">
        <f t="shared" si="1"/>
        <v>1042.02</v>
      </c>
      <c r="M16" s="16">
        <f t="shared" si="1"/>
        <v>792.18</v>
      </c>
      <c r="N16" s="19">
        <v>27206.55</v>
      </c>
    </row>
    <row r="17" spans="1:14" outlineLevel="2" x14ac:dyDescent="0.2">
      <c r="A17" s="9" t="s">
        <v>14</v>
      </c>
      <c r="B17" s="15"/>
      <c r="C17" s="15"/>
      <c r="D17" s="15"/>
      <c r="E17" s="15"/>
      <c r="F17" s="15"/>
      <c r="G17" s="15"/>
      <c r="H17" s="17">
        <v>78.53</v>
      </c>
      <c r="I17" s="15"/>
      <c r="J17" s="15"/>
      <c r="K17" s="15"/>
      <c r="L17" s="15"/>
      <c r="M17" s="15"/>
      <c r="N17" s="17">
        <f>B17+C17+D17+E17+F17+G17+H17+I17+J17+B170+B171+B172</f>
        <v>78.53</v>
      </c>
    </row>
    <row r="18" spans="1:14" outlineLevel="2" x14ac:dyDescent="0.2">
      <c r="A18" s="9" t="s">
        <v>15</v>
      </c>
      <c r="B18" s="15"/>
      <c r="C18" s="15"/>
      <c r="D18" s="15"/>
      <c r="E18" s="15"/>
      <c r="F18" s="15"/>
      <c r="G18" s="17">
        <v>658.97</v>
      </c>
      <c r="H18" s="17">
        <v>1359.25</v>
      </c>
      <c r="I18" s="17">
        <v>1813.93</v>
      </c>
      <c r="J18" s="17">
        <v>4257.78</v>
      </c>
      <c r="K18" s="17">
        <v>695.65</v>
      </c>
      <c r="L18" s="17">
        <v>2575.58</v>
      </c>
      <c r="M18" s="17">
        <v>137.19999999999999</v>
      </c>
      <c r="N18" s="18">
        <v>11498.36</v>
      </c>
    </row>
    <row r="19" spans="1:14" outlineLevel="1" x14ac:dyDescent="0.2">
      <c r="A19" s="12" t="s">
        <v>16</v>
      </c>
      <c r="B19" s="16"/>
      <c r="C19" s="16"/>
      <c r="D19" s="16"/>
      <c r="E19" s="16">
        <f>E12+E16+E17+E18</f>
        <v>6000</v>
      </c>
      <c r="F19" s="16"/>
      <c r="G19" s="16">
        <f t="shared" ref="G19:M19" si="2">G12+G16+G17+G18</f>
        <v>816.89</v>
      </c>
      <c r="H19" s="16">
        <f t="shared" si="2"/>
        <v>3858.67</v>
      </c>
      <c r="I19" s="16">
        <f t="shared" si="2"/>
        <v>8198.77</v>
      </c>
      <c r="J19" s="16">
        <f t="shared" si="2"/>
        <v>10809.07</v>
      </c>
      <c r="K19" s="16">
        <f t="shared" si="2"/>
        <v>4553.0599999999995</v>
      </c>
      <c r="L19" s="16">
        <f t="shared" si="2"/>
        <v>3617.6</v>
      </c>
      <c r="M19" s="16">
        <f t="shared" si="2"/>
        <v>929.37999999999988</v>
      </c>
      <c r="N19" s="20">
        <v>38783.440000000002</v>
      </c>
    </row>
    <row r="20" spans="1:14" x14ac:dyDescent="0.2">
      <c r="A20" s="8" t="s">
        <v>17</v>
      </c>
      <c r="B20" s="16"/>
      <c r="C20" s="16"/>
      <c r="D20" s="16"/>
      <c r="E20" s="16">
        <f>E19</f>
        <v>6000</v>
      </c>
      <c r="F20" s="16"/>
      <c r="G20" s="16">
        <f t="shared" ref="G20:M20" si="3">G19</f>
        <v>816.89</v>
      </c>
      <c r="H20" s="16">
        <f t="shared" si="3"/>
        <v>3858.67</v>
      </c>
      <c r="I20" s="16">
        <f t="shared" si="3"/>
        <v>8198.77</v>
      </c>
      <c r="J20" s="16">
        <f t="shared" si="3"/>
        <v>10809.07</v>
      </c>
      <c r="K20" s="16">
        <f t="shared" si="3"/>
        <v>4553.0599999999995</v>
      </c>
      <c r="L20" s="16">
        <f t="shared" si="3"/>
        <v>3617.6</v>
      </c>
      <c r="M20" s="16">
        <f t="shared" si="3"/>
        <v>929.37999999999988</v>
      </c>
      <c r="N20" s="20">
        <v>38783.440000000002</v>
      </c>
    </row>
    <row r="21" spans="1:14" x14ac:dyDescent="0.2">
      <c r="A21" s="8" t="s">
        <v>18</v>
      </c>
      <c r="B21" s="16"/>
      <c r="C21" s="16"/>
      <c r="D21" s="16"/>
      <c r="E21" s="16">
        <f t="shared" ref="E21:M21" si="4">E10-E20</f>
        <v>18911.64</v>
      </c>
      <c r="F21" s="16">
        <f t="shared" si="4"/>
        <v>125</v>
      </c>
      <c r="G21" s="16">
        <f t="shared" si="4"/>
        <v>4420.33</v>
      </c>
      <c r="H21" s="16">
        <f t="shared" si="4"/>
        <v>12721.800000000001</v>
      </c>
      <c r="I21" s="16">
        <f t="shared" si="4"/>
        <v>2184.8499999999985</v>
      </c>
      <c r="J21" s="16">
        <f t="shared" si="4"/>
        <v>3752.8500000000004</v>
      </c>
      <c r="K21" s="16">
        <f t="shared" si="4"/>
        <v>3017.59</v>
      </c>
      <c r="L21" s="16">
        <f t="shared" si="4"/>
        <v>-796.31999999999971</v>
      </c>
      <c r="M21" s="16">
        <f t="shared" si="4"/>
        <v>978.65000000000009</v>
      </c>
      <c r="N21" s="19">
        <v>45316.389999999985</v>
      </c>
    </row>
    <row r="22" spans="1:14" x14ac:dyDescent="0.2">
      <c r="A22" s="6" t="s">
        <v>19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4" outlineLevel="1" x14ac:dyDescent="0.2">
      <c r="A23" s="7" t="s">
        <v>20</v>
      </c>
      <c r="B23" s="15"/>
      <c r="C23" s="15"/>
      <c r="D23" s="15"/>
      <c r="E23" s="15"/>
      <c r="F23" s="17">
        <v>90</v>
      </c>
      <c r="G23" s="15"/>
      <c r="H23" s="15"/>
      <c r="I23" s="17">
        <v>210.12</v>
      </c>
      <c r="J23" s="17">
        <v>628.67999999999995</v>
      </c>
      <c r="K23" s="17">
        <v>928.55</v>
      </c>
      <c r="L23" s="17">
        <v>273.56</v>
      </c>
      <c r="M23" s="17">
        <v>126.07</v>
      </c>
      <c r="N23" s="17">
        <v>2256.98</v>
      </c>
    </row>
    <row r="24" spans="1:14" outlineLevel="2" x14ac:dyDescent="0.2">
      <c r="A24" s="9" t="s">
        <v>21</v>
      </c>
      <c r="B24" s="15"/>
      <c r="C24" s="15"/>
      <c r="D24" s="15"/>
      <c r="E24" s="15"/>
      <c r="F24" s="15"/>
      <c r="G24" s="15"/>
      <c r="H24" s="15"/>
      <c r="I24" s="15"/>
      <c r="J24" s="15"/>
      <c r="K24" s="17">
        <v>81.02</v>
      </c>
      <c r="L24" s="15"/>
      <c r="M24" s="15"/>
      <c r="N24" s="18">
        <v>81.02</v>
      </c>
    </row>
    <row r="25" spans="1:14" outlineLevel="1" x14ac:dyDescent="0.2">
      <c r="A25" s="12" t="s">
        <v>22</v>
      </c>
      <c r="B25" s="16"/>
      <c r="C25" s="16"/>
      <c r="D25" s="16"/>
      <c r="E25" s="16"/>
      <c r="F25" s="16">
        <f>F23+F24</f>
        <v>90</v>
      </c>
      <c r="G25" s="16"/>
      <c r="H25" s="16"/>
      <c r="I25" s="16">
        <f>I23+I24</f>
        <v>210.12</v>
      </c>
      <c r="J25" s="16">
        <f>J23+J24</f>
        <v>628.67999999999995</v>
      </c>
      <c r="K25" s="16">
        <f>K23+K24</f>
        <v>1009.5699999999999</v>
      </c>
      <c r="L25" s="16">
        <f>L23+L24</f>
        <v>273.56</v>
      </c>
      <c r="M25" s="16">
        <f>M23+M24</f>
        <v>126.07</v>
      </c>
      <c r="N25" s="19">
        <v>2338</v>
      </c>
    </row>
    <row r="26" spans="1:14" outlineLevel="1" x14ac:dyDescent="0.2">
      <c r="A26" s="7" t="s">
        <v>23</v>
      </c>
      <c r="B26" s="15"/>
      <c r="C26" s="15"/>
      <c r="D26" s="17">
        <v>6.01</v>
      </c>
      <c r="E26" s="17">
        <v>325</v>
      </c>
      <c r="F26" s="17">
        <v>13</v>
      </c>
      <c r="G26" s="17">
        <v>115.06</v>
      </c>
      <c r="H26" s="17">
        <v>13.96</v>
      </c>
      <c r="I26" s="15"/>
      <c r="J26" s="17">
        <v>12</v>
      </c>
      <c r="K26" s="15"/>
      <c r="L26" s="15"/>
      <c r="M26" s="15"/>
      <c r="N26" s="17">
        <f>B26+C26+D26+E26+F26+G26+H26+I26+J26+B260+B261+B262</f>
        <v>485.03</v>
      </c>
    </row>
    <row r="27" spans="1:14" outlineLevel="2" x14ac:dyDescent="0.2">
      <c r="A27" s="9" t="s">
        <v>24</v>
      </c>
      <c r="B27" s="15"/>
      <c r="C27" s="17">
        <v>2.5099999999999998</v>
      </c>
      <c r="D27" s="15"/>
      <c r="E27" s="17">
        <v>15</v>
      </c>
      <c r="F27" s="15"/>
      <c r="G27" s="17">
        <v>115.01</v>
      </c>
      <c r="H27" s="15"/>
      <c r="I27" s="15"/>
      <c r="J27" s="15"/>
      <c r="K27" s="17">
        <v>25.91</v>
      </c>
      <c r="L27" s="15"/>
      <c r="M27" s="15"/>
      <c r="N27" s="17">
        <v>158.43</v>
      </c>
    </row>
    <row r="28" spans="1:14" outlineLevel="2" x14ac:dyDescent="0.2">
      <c r="A28" s="9" t="s">
        <v>25</v>
      </c>
      <c r="B28" s="15"/>
      <c r="C28" s="15"/>
      <c r="D28" s="15"/>
      <c r="E28" s="17">
        <v>700</v>
      </c>
      <c r="F28" s="15"/>
      <c r="G28" s="15"/>
      <c r="H28" s="15"/>
      <c r="I28" s="15"/>
      <c r="J28" s="15"/>
      <c r="K28" s="15"/>
      <c r="L28" s="15"/>
      <c r="M28" s="15"/>
      <c r="N28" s="17">
        <f>B28+C28+D28+E28+F28+G28+H28+I28+J28+B280+B281+B282</f>
        <v>700</v>
      </c>
    </row>
    <row r="29" spans="1:14" outlineLevel="2" x14ac:dyDescent="0.2">
      <c r="A29" s="9" t="s">
        <v>26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7">
        <v>72.010000000000005</v>
      </c>
      <c r="M29" s="15"/>
      <c r="N29" s="18">
        <v>72.010000000000005</v>
      </c>
    </row>
    <row r="30" spans="1:14" outlineLevel="1" x14ac:dyDescent="0.2">
      <c r="A30" s="12" t="s">
        <v>27</v>
      </c>
      <c r="B30" s="16"/>
      <c r="C30" s="16">
        <f t="shared" ref="C30:H30" si="5">C26+C27+C28+C29</f>
        <v>2.5099999999999998</v>
      </c>
      <c r="D30" s="16">
        <f t="shared" si="5"/>
        <v>6.01</v>
      </c>
      <c r="E30" s="16">
        <f t="shared" si="5"/>
        <v>1040</v>
      </c>
      <c r="F30" s="16">
        <f t="shared" si="5"/>
        <v>13</v>
      </c>
      <c r="G30" s="16">
        <f t="shared" si="5"/>
        <v>230.07</v>
      </c>
      <c r="H30" s="16">
        <f t="shared" si="5"/>
        <v>13.96</v>
      </c>
      <c r="I30" s="16"/>
      <c r="J30" s="16">
        <f>J26+J27+J28+J29</f>
        <v>12</v>
      </c>
      <c r="K30" s="16">
        <f>K26+K27+K28+K29</f>
        <v>25.91</v>
      </c>
      <c r="L30" s="16">
        <f>L26+L27+L28+L29</f>
        <v>72.010000000000005</v>
      </c>
      <c r="M30" s="16"/>
      <c r="N30" s="19">
        <v>1415.47</v>
      </c>
    </row>
    <row r="31" spans="1:14" outlineLevel="1" x14ac:dyDescent="0.2">
      <c r="A31" s="7" t="s">
        <v>28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outlineLevel="2" x14ac:dyDescent="0.2">
      <c r="A32" s="9" t="s">
        <v>29</v>
      </c>
      <c r="B32" s="15"/>
      <c r="C32" s="15"/>
      <c r="D32" s="15"/>
      <c r="E32" s="15"/>
      <c r="F32" s="15"/>
      <c r="G32" s="15"/>
      <c r="H32" s="15"/>
      <c r="I32" s="17">
        <v>222.16</v>
      </c>
      <c r="J32" s="17">
        <v>225.19</v>
      </c>
      <c r="K32" s="17">
        <v>276.75</v>
      </c>
      <c r="L32" s="17">
        <v>242.38</v>
      </c>
      <c r="M32" s="15"/>
      <c r="N32" s="17">
        <v>966.48</v>
      </c>
    </row>
    <row r="33" spans="1:14" outlineLevel="2" x14ac:dyDescent="0.2">
      <c r="A33" s="9" t="s">
        <v>30</v>
      </c>
      <c r="B33" s="15"/>
      <c r="C33" s="15"/>
      <c r="D33" s="17">
        <v>75.02</v>
      </c>
      <c r="E33" s="17">
        <v>47.22</v>
      </c>
      <c r="F33" s="17">
        <v>47.22</v>
      </c>
      <c r="G33" s="17">
        <v>47.22</v>
      </c>
      <c r="H33" s="17">
        <v>47.22</v>
      </c>
      <c r="I33" s="17">
        <v>47.22</v>
      </c>
      <c r="J33" s="17">
        <v>47.22</v>
      </c>
      <c r="K33" s="17">
        <v>47.22</v>
      </c>
      <c r="L33" s="17">
        <v>47.22</v>
      </c>
      <c r="M33" s="15"/>
      <c r="N33" s="18">
        <v>452.78000000000009</v>
      </c>
    </row>
    <row r="34" spans="1:14" outlineLevel="1" x14ac:dyDescent="0.2">
      <c r="A34" s="12" t="s">
        <v>31</v>
      </c>
      <c r="B34" s="16"/>
      <c r="C34" s="16"/>
      <c r="D34" s="16">
        <f t="shared" ref="D34:L34" si="6">D31+D32+D33</f>
        <v>75.02</v>
      </c>
      <c r="E34" s="16">
        <f t="shared" si="6"/>
        <v>47.22</v>
      </c>
      <c r="F34" s="16">
        <f t="shared" si="6"/>
        <v>47.22</v>
      </c>
      <c r="G34" s="16">
        <f t="shared" si="6"/>
        <v>47.22</v>
      </c>
      <c r="H34" s="16">
        <f t="shared" si="6"/>
        <v>47.22</v>
      </c>
      <c r="I34" s="16">
        <f t="shared" si="6"/>
        <v>269.38</v>
      </c>
      <c r="J34" s="16">
        <f t="shared" si="6"/>
        <v>272.40999999999997</v>
      </c>
      <c r="K34" s="16">
        <f t="shared" si="6"/>
        <v>323.97000000000003</v>
      </c>
      <c r="L34" s="16">
        <f t="shared" si="6"/>
        <v>289.60000000000002</v>
      </c>
      <c r="M34" s="16"/>
      <c r="N34" s="19">
        <v>1419.2600000000002</v>
      </c>
    </row>
    <row r="35" spans="1:14" outlineLevel="1" x14ac:dyDescent="0.2">
      <c r="A35" s="7" t="s">
        <v>32</v>
      </c>
      <c r="B35" s="15"/>
      <c r="C35" s="15"/>
      <c r="D35" s="15"/>
      <c r="E35" s="15"/>
      <c r="F35" s="15"/>
      <c r="G35" s="15"/>
      <c r="H35" s="15"/>
      <c r="I35" s="15"/>
      <c r="J35" s="17">
        <v>7.76</v>
      </c>
      <c r="K35" s="17">
        <v>9.44</v>
      </c>
      <c r="L35" s="15"/>
      <c r="M35" s="15"/>
      <c r="N35" s="17">
        <v>17.2</v>
      </c>
    </row>
    <row r="36" spans="1:14" outlineLevel="1" x14ac:dyDescent="0.2">
      <c r="A36" s="7" t="s">
        <v>33</v>
      </c>
      <c r="B36" s="15"/>
      <c r="C36" s="15"/>
      <c r="D36" s="15"/>
      <c r="E36" s="15"/>
      <c r="F36" s="17">
        <v>276</v>
      </c>
      <c r="G36" s="15"/>
      <c r="H36" s="15"/>
      <c r="I36" s="15"/>
      <c r="J36" s="17">
        <v>17</v>
      </c>
      <c r="K36" s="17">
        <v>66</v>
      </c>
      <c r="L36" s="15"/>
      <c r="M36" s="15"/>
      <c r="N36" s="17">
        <v>359</v>
      </c>
    </row>
    <row r="37" spans="1:14" outlineLevel="1" x14ac:dyDescent="0.2">
      <c r="A37" s="7" t="s">
        <v>34</v>
      </c>
      <c r="B37" s="15"/>
      <c r="C37" s="15"/>
      <c r="D37" s="17">
        <v>146.25</v>
      </c>
      <c r="E37" s="15"/>
      <c r="F37" s="17">
        <v>67.62</v>
      </c>
      <c r="G37" s="17">
        <v>86.43</v>
      </c>
      <c r="H37" s="17">
        <v>154.01</v>
      </c>
      <c r="I37" s="17">
        <v>371.99</v>
      </c>
      <c r="J37" s="17">
        <v>98.97</v>
      </c>
      <c r="K37" s="17">
        <v>21.95</v>
      </c>
      <c r="L37" s="15"/>
      <c r="M37" s="15"/>
      <c r="N37" s="17">
        <v>947.22</v>
      </c>
    </row>
    <row r="38" spans="1:14" outlineLevel="1" x14ac:dyDescent="0.2">
      <c r="A38" s="7" t="s">
        <v>35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outlineLevel="2" x14ac:dyDescent="0.2">
      <c r="A39" s="9" t="s">
        <v>36</v>
      </c>
      <c r="B39" s="15"/>
      <c r="C39" s="15"/>
      <c r="D39" s="15"/>
      <c r="E39" s="15"/>
      <c r="F39" s="17">
        <v>1045.3499999999999</v>
      </c>
      <c r="G39" s="17">
        <v>3578.98</v>
      </c>
      <c r="H39" s="17">
        <v>1614.6</v>
      </c>
      <c r="I39" s="17">
        <v>1249.45</v>
      </c>
      <c r="J39" s="17">
        <v>997.49</v>
      </c>
      <c r="K39" s="17">
        <v>1071.3399999999999</v>
      </c>
      <c r="L39" s="17">
        <v>548.74</v>
      </c>
      <c r="M39" s="17">
        <v>1.57</v>
      </c>
      <c r="N39" s="17">
        <v>10107.52</v>
      </c>
    </row>
    <row r="40" spans="1:14" outlineLevel="2" x14ac:dyDescent="0.2">
      <c r="A40" s="9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7">
        <v>19.29</v>
      </c>
      <c r="M40" s="15"/>
      <c r="N40" s="17">
        <v>19.29</v>
      </c>
    </row>
    <row r="41" spans="1:14" outlineLevel="2" x14ac:dyDescent="0.2">
      <c r="A41" s="9" t="s">
        <v>38</v>
      </c>
      <c r="B41" s="15"/>
      <c r="C41" s="15"/>
      <c r="D41" s="15"/>
      <c r="E41" s="17">
        <v>6</v>
      </c>
      <c r="F41" s="17">
        <v>6</v>
      </c>
      <c r="G41" s="17">
        <v>6</v>
      </c>
      <c r="H41" s="17">
        <v>47.36</v>
      </c>
      <c r="I41" s="17">
        <v>6</v>
      </c>
      <c r="J41" s="17">
        <v>6</v>
      </c>
      <c r="K41" s="17">
        <v>141.38999999999999</v>
      </c>
      <c r="L41" s="17">
        <v>148.91</v>
      </c>
      <c r="M41" s="17">
        <v>9.4</v>
      </c>
      <c r="N41" s="18">
        <v>377.05999999999995</v>
      </c>
    </row>
    <row r="42" spans="1:14" outlineLevel="1" x14ac:dyDescent="0.2">
      <c r="A42" s="12" t="s">
        <v>39</v>
      </c>
      <c r="B42" s="16"/>
      <c r="C42" s="16"/>
      <c r="D42" s="16"/>
      <c r="E42" s="16">
        <f t="shared" ref="E42:M42" si="7">E38+E39+E40+E41</f>
        <v>6</v>
      </c>
      <c r="F42" s="16">
        <f t="shared" si="7"/>
        <v>1051.3499999999999</v>
      </c>
      <c r="G42" s="16">
        <f t="shared" si="7"/>
        <v>3584.98</v>
      </c>
      <c r="H42" s="16">
        <f t="shared" si="7"/>
        <v>1661.9599999999998</v>
      </c>
      <c r="I42" s="16">
        <f t="shared" si="7"/>
        <v>1255.45</v>
      </c>
      <c r="J42" s="16">
        <f t="shared" si="7"/>
        <v>1003.49</v>
      </c>
      <c r="K42" s="16">
        <f t="shared" si="7"/>
        <v>1212.73</v>
      </c>
      <c r="L42" s="16">
        <f t="shared" si="7"/>
        <v>716.93999999999994</v>
      </c>
      <c r="M42" s="16">
        <f t="shared" si="7"/>
        <v>10.97</v>
      </c>
      <c r="N42" s="19">
        <v>10503.87</v>
      </c>
    </row>
    <row r="43" spans="1:14" outlineLevel="1" x14ac:dyDescent="0.2">
      <c r="A43" s="7" t="s">
        <v>40</v>
      </c>
      <c r="B43" s="15"/>
      <c r="C43" s="15"/>
      <c r="D43" s="15"/>
      <c r="E43" s="15"/>
      <c r="F43" s="15"/>
      <c r="G43" s="15"/>
      <c r="H43" s="17">
        <v>3.47</v>
      </c>
      <c r="I43" s="17">
        <v>40.29</v>
      </c>
      <c r="J43" s="17">
        <v>141.84</v>
      </c>
      <c r="K43" s="15"/>
      <c r="L43" s="15"/>
      <c r="M43" s="15"/>
      <c r="N43" s="17">
        <f>B43+C43+D43+E43+F43+G43+H43+I43+J43+B430+B431+B432</f>
        <v>185.6</v>
      </c>
    </row>
    <row r="44" spans="1:14" outlineLevel="2" x14ac:dyDescent="0.2">
      <c r="A44" s="9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7">
        <v>500</v>
      </c>
      <c r="M44" s="17">
        <v>450</v>
      </c>
      <c r="N44" s="17">
        <v>950</v>
      </c>
    </row>
    <row r="45" spans="1:14" outlineLevel="2" x14ac:dyDescent="0.2">
      <c r="A45" s="9" t="s">
        <v>42</v>
      </c>
      <c r="B45" s="15"/>
      <c r="C45" s="15"/>
      <c r="D45" s="15"/>
      <c r="E45" s="15"/>
      <c r="F45" s="15"/>
      <c r="G45" s="17">
        <v>24.4</v>
      </c>
      <c r="H45" s="17">
        <v>374.02</v>
      </c>
      <c r="I45" s="17">
        <v>986.46</v>
      </c>
      <c r="J45" s="17">
        <v>106.12</v>
      </c>
      <c r="K45" s="17">
        <v>368.4</v>
      </c>
      <c r="L45" s="17">
        <v>147.24</v>
      </c>
      <c r="M45" s="17">
        <v>118.64</v>
      </c>
      <c r="N45" s="17">
        <v>2125.2800000000002</v>
      </c>
    </row>
    <row r="46" spans="1:14" outlineLevel="2" x14ac:dyDescent="0.2">
      <c r="A46" s="9" t="s">
        <v>12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7">
        <v>96.87</v>
      </c>
      <c r="M46" s="15"/>
      <c r="N46" s="17">
        <v>96.87</v>
      </c>
    </row>
    <row r="47" spans="1:14" outlineLevel="2" x14ac:dyDescent="0.2">
      <c r="A47" s="9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7">
        <v>58.27</v>
      </c>
      <c r="L47" s="17">
        <v>718.22</v>
      </c>
      <c r="M47" s="17">
        <v>79.239999999999995</v>
      </c>
      <c r="N47" s="18">
        <v>855.73</v>
      </c>
    </row>
    <row r="48" spans="1:14" outlineLevel="1" x14ac:dyDescent="0.2">
      <c r="A48" s="12" t="s">
        <v>44</v>
      </c>
      <c r="B48" s="16"/>
      <c r="C48" s="16"/>
      <c r="D48" s="16"/>
      <c r="E48" s="16"/>
      <c r="F48" s="16"/>
      <c r="G48" s="16">
        <f t="shared" ref="G48:M48" si="8">G43+G44+G45+G46+G47</f>
        <v>24.4</v>
      </c>
      <c r="H48" s="16">
        <f t="shared" si="8"/>
        <v>377.49</v>
      </c>
      <c r="I48" s="16">
        <f t="shared" si="8"/>
        <v>1026.75</v>
      </c>
      <c r="J48" s="16">
        <f t="shared" si="8"/>
        <v>247.96</v>
      </c>
      <c r="K48" s="16">
        <f t="shared" si="8"/>
        <v>426.66999999999996</v>
      </c>
      <c r="L48" s="16">
        <f t="shared" si="8"/>
        <v>1462.33</v>
      </c>
      <c r="M48" s="16">
        <f t="shared" si="8"/>
        <v>647.88</v>
      </c>
      <c r="N48" s="19">
        <v>4213.4799999999996</v>
      </c>
    </row>
    <row r="49" spans="1:14" outlineLevel="1" x14ac:dyDescent="0.2">
      <c r="A49" s="7" t="s">
        <v>45</v>
      </c>
      <c r="B49" s="15"/>
      <c r="C49" s="15"/>
      <c r="D49" s="15"/>
      <c r="E49" s="15"/>
      <c r="F49" s="15"/>
      <c r="G49" s="15"/>
      <c r="H49" s="17">
        <v>253.76</v>
      </c>
      <c r="I49" s="17">
        <v>271.13</v>
      </c>
      <c r="J49" s="17">
        <v>120.41</v>
      </c>
      <c r="K49" s="17">
        <v>68.12</v>
      </c>
      <c r="L49" s="15"/>
      <c r="M49" s="17">
        <v>86.95</v>
      </c>
      <c r="N49" s="17">
        <v>800.37</v>
      </c>
    </row>
    <row r="50" spans="1:14" outlineLevel="1" x14ac:dyDescent="0.2">
      <c r="A50" s="7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outlineLevel="2" x14ac:dyDescent="0.2">
      <c r="A51" s="9" t="s">
        <v>47</v>
      </c>
      <c r="B51" s="15"/>
      <c r="C51" s="15"/>
      <c r="D51" s="15"/>
      <c r="E51" s="15"/>
      <c r="F51" s="15"/>
      <c r="G51" s="17">
        <v>106.4</v>
      </c>
      <c r="H51" s="15"/>
      <c r="I51" s="17">
        <v>74</v>
      </c>
      <c r="J51" s="17">
        <v>74</v>
      </c>
      <c r="K51" s="17">
        <v>178.48</v>
      </c>
      <c r="L51" s="17">
        <v>69</v>
      </c>
      <c r="M51" s="15"/>
      <c r="N51" s="18">
        <v>501.88</v>
      </c>
    </row>
    <row r="52" spans="1:14" outlineLevel="1" x14ac:dyDescent="0.2">
      <c r="A52" s="12" t="s">
        <v>48</v>
      </c>
      <c r="B52" s="16"/>
      <c r="C52" s="16"/>
      <c r="D52" s="16"/>
      <c r="E52" s="16"/>
      <c r="F52" s="16"/>
      <c r="G52" s="16">
        <f>G50+G51</f>
        <v>106.4</v>
      </c>
      <c r="H52" s="16"/>
      <c r="I52" s="16">
        <f>I50+I51</f>
        <v>74</v>
      </c>
      <c r="J52" s="16">
        <f>J50+J51</f>
        <v>74</v>
      </c>
      <c r="K52" s="16">
        <f>K50+K51</f>
        <v>178.48</v>
      </c>
      <c r="L52" s="16">
        <f>L50+L51</f>
        <v>69</v>
      </c>
      <c r="M52" s="16"/>
      <c r="N52" s="19">
        <v>501.88</v>
      </c>
    </row>
    <row r="53" spans="1:14" outlineLevel="1" x14ac:dyDescent="0.2">
      <c r="A53" s="7" t="s">
        <v>49</v>
      </c>
      <c r="B53" s="15"/>
      <c r="C53" s="15"/>
      <c r="D53" s="15"/>
      <c r="E53" s="15"/>
      <c r="F53" s="15"/>
      <c r="G53" s="15"/>
      <c r="H53" s="17">
        <v>23.42</v>
      </c>
      <c r="I53" s="17">
        <v>12.66</v>
      </c>
      <c r="J53" s="17">
        <v>34.68</v>
      </c>
      <c r="K53" s="17">
        <v>22.53</v>
      </c>
      <c r="L53" s="15"/>
      <c r="M53" s="15"/>
      <c r="N53" s="17">
        <v>93.289999999999992</v>
      </c>
    </row>
    <row r="54" spans="1:14" outlineLevel="1" x14ac:dyDescent="0.2">
      <c r="A54" s="7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outlineLevel="2" x14ac:dyDescent="0.2">
      <c r="A55" s="9" t="s">
        <v>51</v>
      </c>
      <c r="B55" s="15"/>
      <c r="C55" s="15"/>
      <c r="D55" s="17">
        <v>72.52</v>
      </c>
      <c r="E55" s="15"/>
      <c r="F55" s="17">
        <v>11.99</v>
      </c>
      <c r="G55" s="17">
        <v>40.17</v>
      </c>
      <c r="H55" s="17">
        <v>98.36</v>
      </c>
      <c r="I55" s="17">
        <v>116.32</v>
      </c>
      <c r="J55" s="17">
        <v>137.49</v>
      </c>
      <c r="K55" s="17">
        <v>144.88999999999999</v>
      </c>
      <c r="L55" s="17">
        <v>144.97</v>
      </c>
      <c r="M55" s="17">
        <v>71.790000000000006</v>
      </c>
      <c r="N55" s="17">
        <v>838.5</v>
      </c>
    </row>
    <row r="56" spans="1:14" outlineLevel="2" x14ac:dyDescent="0.2">
      <c r="A56" s="9" t="s">
        <v>52</v>
      </c>
      <c r="B56" s="15"/>
      <c r="C56" s="15"/>
      <c r="D56" s="15"/>
      <c r="E56" s="15"/>
      <c r="F56" s="15"/>
      <c r="G56" s="15"/>
      <c r="H56" s="15"/>
      <c r="I56" s="17">
        <v>343</v>
      </c>
      <c r="J56" s="17">
        <v>46.35</v>
      </c>
      <c r="K56" s="15"/>
      <c r="L56" s="15"/>
      <c r="M56" s="15"/>
      <c r="N56" s="17">
        <f>B56+C56+D56+E56+F56+G56+H56+I56+J56+B560+B561+B562</f>
        <v>389.35</v>
      </c>
    </row>
    <row r="57" spans="1:14" outlineLevel="2" x14ac:dyDescent="0.2">
      <c r="A57" s="9" t="s">
        <v>53</v>
      </c>
      <c r="B57" s="15"/>
      <c r="C57" s="15"/>
      <c r="D57" s="15"/>
      <c r="E57" s="15"/>
      <c r="F57" s="15"/>
      <c r="G57" s="15"/>
      <c r="H57" s="15"/>
      <c r="I57" s="17">
        <v>994.84</v>
      </c>
      <c r="J57" s="15"/>
      <c r="K57" s="15"/>
      <c r="L57" s="15"/>
      <c r="M57" s="15"/>
      <c r="N57" s="17">
        <f>B57+C57+D57+E57+F57+G57+H57+I57+J57+B570+B571+B572</f>
        <v>994.84</v>
      </c>
    </row>
    <row r="58" spans="1:14" outlineLevel="1" x14ac:dyDescent="0.2">
      <c r="A58" s="12" t="s">
        <v>54</v>
      </c>
      <c r="B58" s="16"/>
      <c r="C58" s="16"/>
      <c r="D58" s="16">
        <f>D54+D55+D56+D57</f>
        <v>72.52</v>
      </c>
      <c r="E58" s="16"/>
      <c r="F58" s="16">
        <f t="shared" ref="F58:M58" si="9">F54+F55+F56+F57</f>
        <v>11.99</v>
      </c>
      <c r="G58" s="16">
        <f t="shared" si="9"/>
        <v>40.17</v>
      </c>
      <c r="H58" s="16">
        <f t="shared" si="9"/>
        <v>98.36</v>
      </c>
      <c r="I58" s="16">
        <f t="shared" si="9"/>
        <v>1454.16</v>
      </c>
      <c r="J58" s="16">
        <f t="shared" si="9"/>
        <v>183.84</v>
      </c>
      <c r="K58" s="16">
        <f t="shared" si="9"/>
        <v>144.88999999999999</v>
      </c>
      <c r="L58" s="16">
        <f t="shared" si="9"/>
        <v>144.97</v>
      </c>
      <c r="M58" s="16">
        <f t="shared" si="9"/>
        <v>71.790000000000006</v>
      </c>
      <c r="N58" s="20">
        <v>2222.69</v>
      </c>
    </row>
    <row r="59" spans="1:14" x14ac:dyDescent="0.2">
      <c r="A59" s="8" t="s">
        <v>55</v>
      </c>
      <c r="B59" s="16"/>
      <c r="C59" s="16">
        <f t="shared" ref="C59:M59" si="10">C25+C30+C34+C35+C36+C37+C42+C48+C49+C52+C53+C58</f>
        <v>2.5099999999999998</v>
      </c>
      <c r="D59" s="16">
        <f t="shared" si="10"/>
        <v>299.8</v>
      </c>
      <c r="E59" s="16">
        <f t="shared" si="10"/>
        <v>1093.22</v>
      </c>
      <c r="F59" s="16">
        <f t="shared" si="10"/>
        <v>1557.18</v>
      </c>
      <c r="G59" s="16">
        <f t="shared" si="10"/>
        <v>4119.67</v>
      </c>
      <c r="H59" s="16">
        <f t="shared" si="10"/>
        <v>2630.18</v>
      </c>
      <c r="I59" s="16">
        <f t="shared" si="10"/>
        <v>4945.6400000000003</v>
      </c>
      <c r="J59" s="16">
        <f t="shared" si="10"/>
        <v>2701.2</v>
      </c>
      <c r="K59" s="16">
        <f t="shared" si="10"/>
        <v>3510.26</v>
      </c>
      <c r="L59" s="16">
        <f t="shared" si="10"/>
        <v>3028.41</v>
      </c>
      <c r="M59" s="16">
        <f t="shared" si="10"/>
        <v>943.66</v>
      </c>
      <c r="N59" s="20">
        <v>24831.73</v>
      </c>
    </row>
    <row r="60" spans="1:14" x14ac:dyDescent="0.2">
      <c r="A60" s="8" t="s">
        <v>56</v>
      </c>
      <c r="B60" s="16"/>
      <c r="C60" s="16">
        <f t="shared" ref="C60:M60" si="11">C21-C59</f>
        <v>-2.5099999999999998</v>
      </c>
      <c r="D60" s="16">
        <f t="shared" si="11"/>
        <v>-299.8</v>
      </c>
      <c r="E60" s="16">
        <f t="shared" si="11"/>
        <v>17818.419999999998</v>
      </c>
      <c r="F60" s="16">
        <f t="shared" si="11"/>
        <v>-1432.18</v>
      </c>
      <c r="G60" s="16">
        <f t="shared" si="11"/>
        <v>300.65999999999985</v>
      </c>
      <c r="H60" s="16">
        <f t="shared" si="11"/>
        <v>10091.620000000001</v>
      </c>
      <c r="I60" s="16">
        <f t="shared" si="11"/>
        <v>-2760.7900000000018</v>
      </c>
      <c r="J60" s="16">
        <f t="shared" si="11"/>
        <v>1051.6500000000005</v>
      </c>
      <c r="K60" s="16">
        <f t="shared" si="11"/>
        <v>-492.67000000000007</v>
      </c>
      <c r="L60" s="16">
        <f t="shared" si="11"/>
        <v>-3824.7299999999996</v>
      </c>
      <c r="M60" s="16">
        <f t="shared" si="11"/>
        <v>34.990000000000123</v>
      </c>
      <c r="N60" s="19">
        <v>20484.659999999985</v>
      </c>
    </row>
    <row r="61" spans="1:14" x14ac:dyDescent="0.2">
      <c r="A61" s="6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4" outlineLevel="1" x14ac:dyDescent="0.2">
      <c r="A62" s="7" t="s">
        <v>58</v>
      </c>
      <c r="B62" s="15"/>
      <c r="C62" s="15"/>
      <c r="D62" s="15"/>
      <c r="E62" s="15"/>
      <c r="F62" s="15"/>
      <c r="G62" s="15"/>
      <c r="H62" s="17">
        <v>402.52</v>
      </c>
      <c r="I62" s="17">
        <v>420.97</v>
      </c>
      <c r="J62" s="17">
        <v>15.48</v>
      </c>
      <c r="K62" s="17">
        <v>40.380000000000003</v>
      </c>
      <c r="L62" s="15"/>
      <c r="M62" s="15"/>
      <c r="N62" s="17">
        <v>879.35</v>
      </c>
    </row>
    <row r="63" spans="1:14" outlineLevel="1" x14ac:dyDescent="0.2">
      <c r="A63" s="7" t="s">
        <v>59</v>
      </c>
      <c r="B63" s="15"/>
      <c r="C63" s="15"/>
      <c r="D63" s="17">
        <v>0.01</v>
      </c>
      <c r="E63" s="17">
        <v>0.17</v>
      </c>
      <c r="F63" s="17">
        <v>0.24</v>
      </c>
      <c r="G63" s="17">
        <v>0.1</v>
      </c>
      <c r="H63" s="17">
        <v>0.74</v>
      </c>
      <c r="I63" s="17">
        <v>1.68</v>
      </c>
      <c r="J63" s="17">
        <v>0.34</v>
      </c>
      <c r="K63" s="17">
        <v>0.1</v>
      </c>
      <c r="L63" s="17">
        <v>0.03</v>
      </c>
      <c r="M63" s="15"/>
      <c r="N63" s="17">
        <v>3.4099999999999997</v>
      </c>
    </row>
    <row r="64" spans="1:14" outlineLevel="1" x14ac:dyDescent="0.2">
      <c r="A64" s="7" t="s">
        <v>57</v>
      </c>
      <c r="B64" s="15"/>
      <c r="C64" s="17">
        <v>3.51</v>
      </c>
      <c r="D64" s="15"/>
      <c r="E64" s="15"/>
      <c r="F64" s="15"/>
      <c r="G64" s="17">
        <v>0.4</v>
      </c>
      <c r="H64" s="15"/>
      <c r="I64" s="15"/>
      <c r="J64" s="17">
        <v>98</v>
      </c>
      <c r="K64" s="17">
        <v>0.91</v>
      </c>
      <c r="L64" s="15"/>
      <c r="M64" s="15"/>
      <c r="N64" s="17">
        <v>102.82</v>
      </c>
    </row>
    <row r="65" spans="1:14" outlineLevel="1" x14ac:dyDescent="0.2">
      <c r="A65" s="7" t="s">
        <v>60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outlineLevel="2" x14ac:dyDescent="0.2">
      <c r="A66" s="9" t="s">
        <v>61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7">
        <v>275</v>
      </c>
      <c r="M66" s="15"/>
      <c r="N66" s="18">
        <v>275</v>
      </c>
    </row>
    <row r="67" spans="1:14" outlineLevel="1" x14ac:dyDescent="0.2">
      <c r="A67" s="12" t="s">
        <v>62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>
        <f>L65+L66</f>
        <v>275</v>
      </c>
      <c r="M67" s="16"/>
      <c r="N67" s="20">
        <v>275</v>
      </c>
    </row>
    <row r="68" spans="1:14" x14ac:dyDescent="0.2">
      <c r="A68" s="8" t="s">
        <v>63</v>
      </c>
      <c r="B68" s="16"/>
      <c r="C68" s="16">
        <f t="shared" ref="C68:L68" si="12">C62+C63+C64+C67</f>
        <v>3.51</v>
      </c>
      <c r="D68" s="16">
        <f t="shared" si="12"/>
        <v>0.01</v>
      </c>
      <c r="E68" s="16">
        <f t="shared" si="12"/>
        <v>0.17</v>
      </c>
      <c r="F68" s="16">
        <f t="shared" si="12"/>
        <v>0.24</v>
      </c>
      <c r="G68" s="16">
        <f t="shared" si="12"/>
        <v>0.5</v>
      </c>
      <c r="H68" s="16">
        <f t="shared" si="12"/>
        <v>403.26</v>
      </c>
      <c r="I68" s="16">
        <f t="shared" si="12"/>
        <v>422.65000000000003</v>
      </c>
      <c r="J68" s="16">
        <f t="shared" si="12"/>
        <v>113.82</v>
      </c>
      <c r="K68" s="16">
        <f t="shared" si="12"/>
        <v>41.39</v>
      </c>
      <c r="L68" s="16">
        <f t="shared" si="12"/>
        <v>275.02999999999997</v>
      </c>
      <c r="M68" s="16"/>
      <c r="N68" s="19">
        <v>1260.58</v>
      </c>
    </row>
    <row r="69" spans="1:14" x14ac:dyDescent="0.2">
      <c r="A69" s="6" t="s">
        <v>64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4" outlineLevel="1" x14ac:dyDescent="0.2">
      <c r="A70" s="7" t="s">
        <v>65</v>
      </c>
      <c r="B70" s="15"/>
      <c r="C70" s="15"/>
      <c r="D70" s="15"/>
      <c r="E70" s="15"/>
      <c r="F70" s="15"/>
      <c r="G70" s="15"/>
      <c r="H70" s="15"/>
      <c r="I70" s="15"/>
      <c r="J70" s="17">
        <v>29</v>
      </c>
      <c r="K70" s="15"/>
      <c r="L70" s="15"/>
      <c r="M70" s="15"/>
      <c r="N70" s="17">
        <f>B70+C70+D70+E70+F70+G70+H70+I70+J70+B700+B701+B702</f>
        <v>29</v>
      </c>
    </row>
    <row r="71" spans="1:14" x14ac:dyDescent="0.2">
      <c r="A71" s="8" t="s">
        <v>66</v>
      </c>
      <c r="B71" s="16"/>
      <c r="C71" s="16"/>
      <c r="D71" s="16"/>
      <c r="E71" s="16"/>
      <c r="F71" s="16"/>
      <c r="G71" s="16"/>
      <c r="H71" s="16"/>
      <c r="I71" s="16"/>
      <c r="J71" s="16">
        <f>J70</f>
        <v>29</v>
      </c>
      <c r="K71" s="16"/>
      <c r="L71" s="16"/>
      <c r="M71" s="16"/>
      <c r="N71" s="19">
        <f>B71+C71+D71+E71+F71+G71+H71+I71+J71+B710+B711+B712</f>
        <v>29</v>
      </c>
    </row>
    <row r="72" spans="1:14" x14ac:dyDescent="0.2">
      <c r="A72" s="8" t="s">
        <v>67</v>
      </c>
      <c r="B72" s="16"/>
      <c r="C72" s="16">
        <f t="shared" ref="C72:L72" si="13">C68-C71</f>
        <v>3.51</v>
      </c>
      <c r="D72" s="16">
        <f t="shared" si="13"/>
        <v>0.01</v>
      </c>
      <c r="E72" s="16">
        <f t="shared" si="13"/>
        <v>0.17</v>
      </c>
      <c r="F72" s="16">
        <f t="shared" si="13"/>
        <v>0.24</v>
      </c>
      <c r="G72" s="16">
        <f t="shared" si="13"/>
        <v>0.5</v>
      </c>
      <c r="H72" s="16">
        <f t="shared" si="13"/>
        <v>403.26</v>
      </c>
      <c r="I72" s="16">
        <f t="shared" si="13"/>
        <v>422.65000000000003</v>
      </c>
      <c r="J72" s="16">
        <f t="shared" si="13"/>
        <v>84.82</v>
      </c>
      <c r="K72" s="16">
        <f t="shared" si="13"/>
        <v>41.39</v>
      </c>
      <c r="L72" s="16">
        <f t="shared" si="13"/>
        <v>275.02999999999997</v>
      </c>
      <c r="M72" s="16"/>
      <c r="N72" s="20">
        <v>1231.58</v>
      </c>
    </row>
    <row r="73" spans="1:14" x14ac:dyDescent="0.2">
      <c r="A73" s="8" t="s">
        <v>68</v>
      </c>
      <c r="B73" s="16"/>
      <c r="C73" s="16">
        <f t="shared" ref="C73:M73" si="14">C60+C72</f>
        <v>1</v>
      </c>
      <c r="D73" s="16">
        <f t="shared" si="14"/>
        <v>-299.79000000000002</v>
      </c>
      <c r="E73" s="16">
        <f t="shared" si="14"/>
        <v>17818.589999999997</v>
      </c>
      <c r="F73" s="16">
        <f t="shared" si="14"/>
        <v>-1431.94</v>
      </c>
      <c r="G73" s="16">
        <f t="shared" si="14"/>
        <v>301.15999999999985</v>
      </c>
      <c r="H73" s="16">
        <f t="shared" si="14"/>
        <v>10494.880000000001</v>
      </c>
      <c r="I73" s="16">
        <f t="shared" si="14"/>
        <v>-2338.1400000000017</v>
      </c>
      <c r="J73" s="16">
        <f t="shared" si="14"/>
        <v>1136.4700000000005</v>
      </c>
      <c r="K73" s="16">
        <f t="shared" si="14"/>
        <v>-451.28000000000009</v>
      </c>
      <c r="L73" s="16">
        <f t="shared" si="14"/>
        <v>-3549.7</v>
      </c>
      <c r="M73" s="16">
        <f t="shared" si="14"/>
        <v>34.990000000000123</v>
      </c>
      <c r="N73" s="19">
        <v>21716.239999999983</v>
      </c>
    </row>
    <row r="77" spans="1:14" x14ac:dyDescent="0.2">
      <c r="A77" s="1" t="s">
        <v>83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</sheetData>
  <mergeCells count="4">
    <mergeCell ref="A1:N1"/>
    <mergeCell ref="A2:N2"/>
    <mergeCell ref="A3:N3"/>
    <mergeCell ref="A77:N7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McKay Whiting</cp:lastModifiedBy>
  <dcterms:created xsi:type="dcterms:W3CDTF">2022-03-24T08:55:57Z</dcterms:created>
  <dcterms:modified xsi:type="dcterms:W3CDTF">2025-12-09T00:13:22Z</dcterms:modified>
  <cp:category/>
</cp:coreProperties>
</file>