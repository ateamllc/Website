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kaywhiting/Downloads/Business at a glance 12:8:2025/"/>
    </mc:Choice>
  </mc:AlternateContent>
  <xr:revisionPtr revIDLastSave="0" documentId="8_{5E8C0618-9726-D84F-832B-561D485CAC01}" xr6:coauthVersionLast="47" xr6:coauthVersionMax="47" xr10:uidLastSave="{00000000-0000-0000-0000-000000000000}"/>
  <bookViews>
    <workbookView xWindow="3880" yWindow="2200" windowWidth="28040" windowHeight="17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3" i="1"/>
  <c r="B19" i="1"/>
  <c r="B20" i="1" s="1"/>
  <c r="B29" i="1" s="1"/>
</calcChain>
</file>

<file path=xl/sharedStrings.xml><?xml version="1.0" encoding="utf-8"?>
<sst xmlns="http://schemas.openxmlformats.org/spreadsheetml/2006/main" count="32" uniqueCount="32">
  <si>
    <t>Statement of Cash Flows</t>
  </si>
  <si>
    <t>A Team Property Improvement LLC</t>
  </si>
  <si>
    <t>January 1-December 8, 2025</t>
  </si>
  <si>
    <t>Cash flows from operating activities</t>
  </si>
  <si>
    <t>Net Income</t>
  </si>
  <si>
    <t>Adjustments for non-cash income and expenses:</t>
  </si>
  <si>
    <t>Accounts Receivable (A/R)</t>
  </si>
  <si>
    <t>Direct Deposit Payable</t>
  </si>
  <si>
    <t>I. JOHNSON (9089) - 1</t>
  </si>
  <si>
    <t>M. WHITING (9071) - 1</t>
  </si>
  <si>
    <t>Payroll Liabilities:Federal Taxes (941/943/944)</t>
  </si>
  <si>
    <t>Payroll Liabilities:Federal Unemployment (940)</t>
  </si>
  <si>
    <t>Payroll Liabilities:UT Income Tax</t>
  </si>
  <si>
    <t>Payroll Liabilities:UT Unemployment Tax</t>
  </si>
  <si>
    <t>Pro Xtra Credit Card (8805) - 3</t>
  </si>
  <si>
    <t>QuickBooks Tax Holding Account</t>
  </si>
  <si>
    <t>Total for Adjustments for non-cash income and expenses:</t>
  </si>
  <si>
    <t>Net cash from operating activities</t>
  </si>
  <si>
    <t>Cash flows from investing activities</t>
  </si>
  <si>
    <t>Vehicles:2005 Chevrolet Express 3500:Original cost</t>
  </si>
  <si>
    <t>Net cash used in investing activities</t>
  </si>
  <si>
    <t>Cash flows from financing activities</t>
  </si>
  <si>
    <t>Opening balance equity</t>
  </si>
  <si>
    <t>Partner distributions</t>
  </si>
  <si>
    <t>Partner investments</t>
  </si>
  <si>
    <t>Net cash used in financing activities</t>
  </si>
  <si>
    <t>NET INCREASE (DECREASE) IN CASH AND CASH EQUIVALENTS</t>
  </si>
  <si>
    <t>Cash and cash equivalents at beginning of year</t>
  </si>
  <si>
    <t>CASH AND CASH EQUIVALENTS AT END OF YEAR</t>
  </si>
  <si>
    <t>Full name</t>
  </si>
  <si>
    <t>Total</t>
  </si>
  <si>
    <t xml:space="preserve"> Tuesday, December 09, 2025 12:04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</si>
</sst>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6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  <xf numFmtId="164" fontId="3" fillId="0" borderId="3" xfId="0" applyNumberFormat="1" applyFont="1" applyBorder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B35"/>
  <sheetViews>
    <sheetView tabSelected="1" workbookViewId="0">
      <selection sqref="A1:B1"/>
    </sheetView>
  </sheetViews>
  <sheetFormatPr baseColWidth="10" defaultColWidth="11.33203125" defaultRowHeight="16" outlineLevelRow="2" x14ac:dyDescent="0.2"/>
  <cols>
    <col min="1" max="1" width="47.83203125" style="11" customWidth="1"/>
    <col min="2" max="2" width="16.1640625" style="11" customWidth="1"/>
  </cols>
  <sheetData>
    <row r="1" spans="1:2" x14ac:dyDescent="0.2">
      <c r="A1" s="5" t="s">
        <v>0</v>
      </c>
      <c r="B1" s="4"/>
    </row>
    <row r="2" spans="1:2" x14ac:dyDescent="0.2">
      <c r="A2" s="3" t="s">
        <v>1</v>
      </c>
      <c r="B2" s="4"/>
    </row>
    <row r="3" spans="1:2" x14ac:dyDescent="0.2">
      <c r="A3" s="2" t="s">
        <v>2</v>
      </c>
      <c r="B3" s="4"/>
    </row>
    <row r="5" spans="1:2" x14ac:dyDescent="0.2">
      <c r="A5" s="12" t="s">
        <v>29</v>
      </c>
      <c r="B5" s="12" t="s">
        <v>30</v>
      </c>
    </row>
    <row r="6" spans="1:2" x14ac:dyDescent="0.2">
      <c r="A6" s="6" t="s">
        <v>3</v>
      </c>
    </row>
    <row r="7" spans="1:2" outlineLevel="1" x14ac:dyDescent="0.2">
      <c r="A7" s="7" t="s">
        <v>4</v>
      </c>
      <c r="B7" s="13">
        <v>22695.62</v>
      </c>
    </row>
    <row r="8" spans="1:2" outlineLevel="1" x14ac:dyDescent="0.2">
      <c r="A8" s="7" t="s">
        <v>5</v>
      </c>
    </row>
    <row r="9" spans="1:2" outlineLevel="2" x14ac:dyDescent="0.2">
      <c r="A9" s="8" t="s">
        <v>6</v>
      </c>
      <c r="B9" s="13">
        <v>-979.38</v>
      </c>
    </row>
    <row r="10" spans="1:2" outlineLevel="2" x14ac:dyDescent="0.2">
      <c r="A10" s="8" t="s">
        <v>7</v>
      </c>
      <c r="B10" s="13">
        <v>0</v>
      </c>
    </row>
    <row r="11" spans="1:2" outlineLevel="2" x14ac:dyDescent="0.2">
      <c r="A11" s="8" t="s">
        <v>8</v>
      </c>
      <c r="B11" s="13">
        <v>6072.41</v>
      </c>
    </row>
    <row r="12" spans="1:2" outlineLevel="2" x14ac:dyDescent="0.2">
      <c r="A12" s="8" t="s">
        <v>9</v>
      </c>
      <c r="B12" s="13">
        <v>-2878.01</v>
      </c>
    </row>
    <row r="13" spans="1:2" outlineLevel="2" x14ac:dyDescent="0.2">
      <c r="A13" s="8" t="s">
        <v>10</v>
      </c>
      <c r="B13" s="13">
        <v>123.88</v>
      </c>
    </row>
    <row r="14" spans="1:2" outlineLevel="2" x14ac:dyDescent="0.2">
      <c r="A14" s="8" t="s">
        <v>11</v>
      </c>
      <c r="B14" s="13">
        <v>132.94</v>
      </c>
    </row>
    <row r="15" spans="1:2" outlineLevel="2" x14ac:dyDescent="0.2">
      <c r="A15" s="8" t="s">
        <v>12</v>
      </c>
      <c r="B15" s="13">
        <v>30.66</v>
      </c>
    </row>
    <row r="16" spans="1:2" outlineLevel="2" x14ac:dyDescent="0.2">
      <c r="A16" s="8" t="s">
        <v>13</v>
      </c>
      <c r="B16" s="13">
        <v>86.34</v>
      </c>
    </row>
    <row r="17" spans="1:2" outlineLevel="2" x14ac:dyDescent="0.2">
      <c r="A17" s="8" t="s">
        <v>14</v>
      </c>
      <c r="B17" s="13">
        <v>867.75</v>
      </c>
    </row>
    <row r="18" spans="1:2" outlineLevel="2" x14ac:dyDescent="0.2">
      <c r="A18" s="8" t="s">
        <v>15</v>
      </c>
      <c r="B18" s="13">
        <v>-373.8</v>
      </c>
    </row>
    <row r="19" spans="1:2" outlineLevel="1" x14ac:dyDescent="0.2">
      <c r="A19" s="9" t="s">
        <v>16</v>
      </c>
      <c r="B19" s="14">
        <f>B8+B9+B10+B11+B12+B13+B14+B15+B16+B17+B18</f>
        <v>3082.7899999999995</v>
      </c>
    </row>
    <row r="20" spans="1:2" x14ac:dyDescent="0.2">
      <c r="A20" s="10" t="s">
        <v>17</v>
      </c>
      <c r="B20" s="14">
        <f>B7+B19</f>
        <v>25778.41</v>
      </c>
    </row>
    <row r="21" spans="1:2" x14ac:dyDescent="0.2">
      <c r="A21" s="6" t="s">
        <v>18</v>
      </c>
    </row>
    <row r="22" spans="1:2" outlineLevel="1" x14ac:dyDescent="0.2">
      <c r="A22" s="7" t="s">
        <v>19</v>
      </c>
      <c r="B22" s="13">
        <v>-3000</v>
      </c>
    </row>
    <row r="23" spans="1:2" x14ac:dyDescent="0.2">
      <c r="A23" s="10" t="s">
        <v>20</v>
      </c>
      <c r="B23" s="14">
        <f>B22</f>
        <v>-3000</v>
      </c>
    </row>
    <row r="24" spans="1:2" x14ac:dyDescent="0.2">
      <c r="A24" s="6" t="s">
        <v>21</v>
      </c>
    </row>
    <row r="25" spans="1:2" outlineLevel="1" x14ac:dyDescent="0.2">
      <c r="A25" s="7" t="s">
        <v>22</v>
      </c>
      <c r="B25" s="13">
        <v>397</v>
      </c>
    </row>
    <row r="26" spans="1:2" outlineLevel="1" x14ac:dyDescent="0.2">
      <c r="A26" s="7" t="s">
        <v>23</v>
      </c>
      <c r="B26" s="13">
        <v>-20531.87</v>
      </c>
    </row>
    <row r="27" spans="1:2" outlineLevel="1" x14ac:dyDescent="0.2">
      <c r="A27" s="7" t="s">
        <v>24</v>
      </c>
      <c r="B27" s="13">
        <v>843.62</v>
      </c>
    </row>
    <row r="28" spans="1:2" x14ac:dyDescent="0.2">
      <c r="A28" s="10" t="s">
        <v>25</v>
      </c>
      <c r="B28" s="14">
        <f>B25+B26+B27</f>
        <v>-19291.25</v>
      </c>
    </row>
    <row r="29" spans="1:2" x14ac:dyDescent="0.2">
      <c r="A29" s="10" t="s">
        <v>26</v>
      </c>
      <c r="B29" s="14">
        <f>B20+B23+B28</f>
        <v>3487.16</v>
      </c>
    </row>
    <row r="30" spans="1:2" x14ac:dyDescent="0.2">
      <c r="A30" s="10" t="s">
        <v>27</v>
      </c>
      <c r="B30" s="15">
        <v>0</v>
      </c>
    </row>
    <row r="31" spans="1:2" x14ac:dyDescent="0.2">
      <c r="A31" s="10" t="s">
        <v>28</v>
      </c>
      <c r="B31" s="14">
        <v>3487.16</v>
      </c>
    </row>
    <row r="35" spans="1:2" x14ac:dyDescent="0.2">
      <c r="A35" s="1" t="s">
        <v>31</v>
      </c>
      <c r="B35" s="4"/>
    </row>
  </sheetData>
  <mergeCells count="4">
    <mergeCell ref="A1:B1"/>
    <mergeCell ref="A2:B2"/>
    <mergeCell ref="A3:B3"/>
    <mergeCell ref="A35:B3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McKay Whiting</cp:lastModifiedBy>
  <dcterms:created xsi:type="dcterms:W3CDTF">2022-03-24T08:55:57Z</dcterms:created>
  <dcterms:modified xsi:type="dcterms:W3CDTF">2025-12-09T00:13:48Z</dcterms:modified>
  <cp:category/>
</cp:coreProperties>
</file>